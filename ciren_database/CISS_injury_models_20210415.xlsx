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BM\2023-NHTSA-projects\Presentations\"/>
    </mc:Choice>
  </mc:AlternateContent>
  <xr:revisionPtr revIDLastSave="0" documentId="13_ncr:1_{0DEDFFA8-776B-4A63-87E0-3CF232DAF08A}" xr6:coauthVersionLast="47" xr6:coauthVersionMax="47" xr10:uidLastSave="{00000000-0000-0000-0000-000000000000}"/>
  <bookViews>
    <workbookView xWindow="-108" yWindow="-108" windowWidth="23256" windowHeight="12456" firstSheet="1" activeTab="3" xr2:uid="{61E1EB2F-A8D7-4CFF-B8BA-805E4FF1CBDA}"/>
  </bookViews>
  <sheets>
    <sheet name="Odds Ratios" sheetId="1" r:id="rId1"/>
    <sheet name="Odds Ratio Comparisons" sheetId="7" r:id="rId2"/>
    <sheet name="BMI Table" sheetId="4" r:id="rId3"/>
    <sheet name="Height Table" sheetId="5" r:id="rId4"/>
    <sheet name="DeltaV Table" sheetId="6" r:id="rId5"/>
    <sheet name="Model Coefficients" sheetId="3" r:id="rId6"/>
  </sheets>
  <definedNames>
    <definedName name="ChestCoef">'Model Coefficients'!$G$2:$K$13</definedName>
    <definedName name="ExternalData_1" localSheetId="0">'Odds Ratios'!$A$2:$D$9</definedName>
    <definedName name="ExternalData_2" localSheetId="0">'Odds Ratios'!$A$13:$D$20</definedName>
    <definedName name="ExternalData_3" localSheetId="0">'Odds Ratios'!$A$24:$D$31</definedName>
    <definedName name="HeadCoef">'Model Coefficients'!$A$2:$E$13</definedName>
    <definedName name="LowerExtremityCoef">'Model Coefficients'!$M$2:$Q$13</definedName>
    <definedName name="ModelTypes">'Model Coefficients'!$B$2:$E$2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7" l="1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C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B3" i="7"/>
  <c r="C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F20" i="6"/>
  <c r="F52" i="6"/>
  <c r="F31" i="6"/>
  <c r="H12" i="6"/>
  <c r="H44" i="6"/>
  <c r="F40" i="6"/>
  <c r="H7" i="6"/>
  <c r="H39" i="6"/>
  <c r="H59" i="6"/>
  <c r="F32" i="6"/>
  <c r="H13" i="6"/>
  <c r="G48" i="6"/>
  <c r="F30" i="6"/>
  <c r="F62" i="6"/>
  <c r="H35" i="6"/>
  <c r="F12" i="5"/>
  <c r="F44" i="5"/>
  <c r="F76" i="5"/>
  <c r="F74" i="5"/>
  <c r="F23" i="5"/>
  <c r="G60" i="5"/>
  <c r="F18" i="5"/>
  <c r="F50" i="5"/>
  <c r="G10" i="5"/>
  <c r="G42" i="5"/>
  <c r="G74" i="5"/>
  <c r="H69" i="5"/>
  <c r="G21" i="5"/>
  <c r="F56" i="5"/>
  <c r="G16" i="5"/>
  <c r="G48" i="5"/>
  <c r="H8" i="5"/>
  <c r="H40" i="5"/>
  <c r="H72" i="5"/>
  <c r="F25" i="5"/>
  <c r="F28" i="4"/>
  <c r="H7" i="4"/>
  <c r="F20" i="4"/>
  <c r="H26" i="4"/>
  <c r="G25" i="4"/>
  <c r="F22" i="4"/>
  <c r="H27" i="4"/>
  <c r="F55" i="6"/>
  <c r="H33" i="6"/>
  <c r="G15" i="6"/>
  <c r="G47" i="6"/>
  <c r="F48" i="6"/>
  <c r="G10" i="6"/>
  <c r="G42" i="6"/>
  <c r="H62" i="6"/>
  <c r="H34" i="6"/>
  <c r="G16" i="6"/>
  <c r="F41" i="6"/>
  <c r="H32" i="6"/>
  <c r="G6" i="6"/>
  <c r="G38" i="6"/>
  <c r="H14" i="5"/>
  <c r="H46" i="5"/>
  <c r="H78" i="5"/>
  <c r="F82" i="5"/>
  <c r="H25" i="5"/>
  <c r="G68" i="5"/>
  <c r="H20" i="5"/>
  <c r="H52" i="5"/>
  <c r="F13" i="5"/>
  <c r="F45" i="5"/>
  <c r="F77" i="5"/>
  <c r="F75" i="5"/>
  <c r="F24" i="5"/>
  <c r="G61" i="5"/>
  <c r="F19" i="5"/>
  <c r="F51" i="5"/>
  <c r="G11" i="5"/>
  <c r="G43" i="5"/>
  <c r="G20" i="4"/>
  <c r="G29" i="4"/>
  <c r="G30" i="4"/>
  <c r="H15" i="4"/>
  <c r="G8" i="4"/>
  <c r="H22" i="4"/>
  <c r="F62" i="5"/>
  <c r="H22" i="6"/>
  <c r="G25" i="6"/>
  <c r="G4" i="6"/>
  <c r="G36" i="6"/>
  <c r="F18" i="6"/>
  <c r="F50" i="6"/>
  <c r="H50" i="6"/>
  <c r="F13" i="6"/>
  <c r="H47" i="6"/>
  <c r="G5" i="6"/>
  <c r="G37" i="6"/>
  <c r="F19" i="6"/>
  <c r="F60" i="6"/>
  <c r="G35" i="6"/>
  <c r="F9" i="6"/>
  <c r="H51" i="6"/>
  <c r="G17" i="5"/>
  <c r="G49" i="5"/>
  <c r="G81" i="5"/>
  <c r="F41" i="5"/>
  <c r="G28" i="5"/>
  <c r="G76" i="5"/>
  <c r="G23" i="5"/>
  <c r="G55" i="5"/>
  <c r="H15" i="5"/>
  <c r="H47" i="5"/>
  <c r="H79" i="5"/>
  <c r="F83" i="5"/>
  <c r="H26" i="5"/>
  <c r="G69" i="5"/>
  <c r="H21" i="5"/>
  <c r="H53" i="5"/>
  <c r="F14" i="5"/>
  <c r="F46" i="5"/>
  <c r="F78" i="5"/>
  <c r="G30" i="5"/>
  <c r="H4" i="4"/>
  <c r="F13" i="4"/>
  <c r="F15" i="4"/>
  <c r="H5" i="4"/>
  <c r="F23" i="4"/>
  <c r="G27" i="4"/>
  <c r="F12" i="4"/>
  <c r="F28" i="6"/>
  <c r="F7" i="6"/>
  <c r="F39" i="6"/>
  <c r="H20" i="6"/>
  <c r="H52" i="6"/>
  <c r="H58" i="6"/>
  <c r="H15" i="6"/>
  <c r="F53" i="6"/>
  <c r="F8" i="6"/>
  <c r="G45" i="6"/>
  <c r="H21" i="6"/>
  <c r="F6" i="6"/>
  <c r="F38" i="6"/>
  <c r="H11" i="6"/>
  <c r="F57" i="6"/>
  <c r="F20" i="5"/>
  <c r="F52" i="5"/>
  <c r="G52" i="5"/>
  <c r="G62" i="5"/>
  <c r="F31" i="5"/>
  <c r="F66" i="5"/>
  <c r="F26" i="5"/>
  <c r="F58" i="5"/>
  <c r="G18" i="5"/>
  <c r="G50" i="5"/>
  <c r="G82" i="5"/>
  <c r="H43" i="5"/>
  <c r="G29" i="5"/>
  <c r="G77" i="5"/>
  <c r="G24" i="5"/>
  <c r="G56" i="5"/>
  <c r="H16" i="5"/>
  <c r="H48" i="5"/>
  <c r="G7" i="4"/>
  <c r="F30" i="4"/>
  <c r="H37" i="5"/>
  <c r="F16" i="4"/>
  <c r="F17" i="4"/>
  <c r="F3" i="4"/>
  <c r="F3" i="5"/>
  <c r="H30" i="6"/>
  <c r="H9" i="6"/>
  <c r="H41" i="6"/>
  <c r="G23" i="6"/>
  <c r="G55" i="6"/>
  <c r="H45" i="6"/>
  <c r="G18" i="6"/>
  <c r="G58" i="6"/>
  <c r="H10" i="6"/>
  <c r="F56" i="6"/>
  <c r="G24" i="6"/>
  <c r="H8" i="6"/>
  <c r="H40" i="6"/>
  <c r="G14" i="6"/>
  <c r="G57" i="6"/>
  <c r="H22" i="5"/>
  <c r="H54" i="5"/>
  <c r="H57" i="5"/>
  <c r="H75" i="5"/>
  <c r="H33" i="5"/>
  <c r="H76" i="5"/>
  <c r="H28" i="5"/>
  <c r="H60" i="5"/>
  <c r="F21" i="5"/>
  <c r="F53" i="5"/>
  <c r="G53" i="5"/>
  <c r="F65" i="5"/>
  <c r="F32" i="5"/>
  <c r="F67" i="5"/>
  <c r="F27" i="5"/>
  <c r="F59" i="5"/>
  <c r="G19" i="5"/>
  <c r="G51" i="5"/>
  <c r="G83" i="5"/>
  <c r="H35" i="5"/>
  <c r="H12" i="4"/>
  <c r="G18" i="4"/>
  <c r="G5" i="4"/>
  <c r="F11" i="4"/>
  <c r="H30" i="4"/>
  <c r="G6" i="4"/>
  <c r="F7" i="4"/>
  <c r="G33" i="6"/>
  <c r="G12" i="6"/>
  <c r="G44" i="6"/>
  <c r="F26" i="6"/>
  <c r="F58" i="6"/>
  <c r="G56" i="6"/>
  <c r="F21" i="6"/>
  <c r="H63" i="6"/>
  <c r="G13" i="6"/>
  <c r="F51" i="6"/>
  <c r="F27" i="6"/>
  <c r="G11" i="6"/>
  <c r="G43" i="6"/>
  <c r="F17" i="6"/>
  <c r="G60" i="6"/>
  <c r="G25" i="5"/>
  <c r="G57" i="5"/>
  <c r="F63" i="5"/>
  <c r="G4" i="5"/>
  <c r="G36" i="5"/>
  <c r="G46" i="5"/>
  <c r="G31" i="5"/>
  <c r="G63" i="5"/>
  <c r="H23" i="5"/>
  <c r="H55" i="5"/>
  <c r="H58" i="5"/>
  <c r="H83" i="5"/>
  <c r="H34" i="5"/>
  <c r="H77" i="5"/>
  <c r="H29" i="5"/>
  <c r="H61" i="5"/>
  <c r="F22" i="5"/>
  <c r="F54" i="5"/>
  <c r="G6" i="5"/>
  <c r="G38" i="5"/>
  <c r="G15" i="4"/>
  <c r="F21" i="4"/>
  <c r="F8" i="4"/>
  <c r="H13" i="4"/>
  <c r="H17" i="4"/>
  <c r="F9" i="4"/>
  <c r="G12" i="4"/>
  <c r="H31" i="5"/>
  <c r="G14" i="5"/>
  <c r="F29" i="4"/>
  <c r="F10" i="4"/>
  <c r="F4" i="6"/>
  <c r="F36" i="6"/>
  <c r="F15" i="6"/>
  <c r="F47" i="6"/>
  <c r="H28" i="6"/>
  <c r="H60" i="6"/>
  <c r="H61" i="6"/>
  <c r="H23" i="6"/>
  <c r="H42" i="6"/>
  <c r="F16" i="6"/>
  <c r="H43" i="6"/>
  <c r="H29" i="6"/>
  <c r="F14" i="6"/>
  <c r="F46" i="6"/>
  <c r="H19" i="6"/>
  <c r="G3" i="6"/>
  <c r="F28" i="5"/>
  <c r="F60" i="5"/>
  <c r="H65" i="5"/>
  <c r="F7" i="5"/>
  <c r="F39" i="5"/>
  <c r="G70" i="5"/>
  <c r="F34" i="5"/>
  <c r="G71" i="5"/>
  <c r="G26" i="5"/>
  <c r="G58" i="5"/>
  <c r="F64" i="5"/>
  <c r="G5" i="5"/>
  <c r="G37" i="5"/>
  <c r="G54" i="5"/>
  <c r="G32" i="5"/>
  <c r="G64" i="5"/>
  <c r="H24" i="5"/>
  <c r="H56" i="5"/>
  <c r="F9" i="5"/>
  <c r="H51" i="5"/>
  <c r="F18" i="4"/>
  <c r="H23" i="4"/>
  <c r="H10" i="4"/>
  <c r="G16" i="4"/>
  <c r="F6" i="4"/>
  <c r="H11" i="4"/>
  <c r="G28" i="4"/>
  <c r="H38" i="6"/>
  <c r="H17" i="6"/>
  <c r="H49" i="6"/>
  <c r="G31" i="6"/>
  <c r="G63" i="6"/>
  <c r="F49" i="6"/>
  <c r="G26" i="6"/>
  <c r="G53" i="6"/>
  <c r="H18" i="6"/>
  <c r="G62" i="6"/>
  <c r="G32" i="6"/>
  <c r="H16" i="6"/>
  <c r="H48" i="6"/>
  <c r="G22" i="6"/>
  <c r="H3" i="6"/>
  <c r="H30" i="5"/>
  <c r="H62" i="5"/>
  <c r="F71" i="5"/>
  <c r="H9" i="5"/>
  <c r="H41" i="5"/>
  <c r="H4" i="5"/>
  <c r="H36" i="5"/>
  <c r="G79" i="5"/>
  <c r="F29" i="5"/>
  <c r="F61" i="5"/>
  <c r="H66" i="5"/>
  <c r="F8" i="5"/>
  <c r="F40" i="5"/>
  <c r="G78" i="5"/>
  <c r="F35" i="5"/>
  <c r="G72" i="5"/>
  <c r="G27" i="5"/>
  <c r="G59" i="5"/>
  <c r="H11" i="5"/>
  <c r="H59" i="5"/>
  <c r="H20" i="4"/>
  <c r="G26" i="4"/>
  <c r="G13" i="4"/>
  <c r="F19" i="4"/>
  <c r="H8" i="4"/>
  <c r="G14" i="4"/>
  <c r="G3" i="4"/>
  <c r="G41" i="6"/>
  <c r="G20" i="6"/>
  <c r="G52" i="6"/>
  <c r="F34" i="6"/>
  <c r="F45" i="6"/>
  <c r="G54" i="6"/>
  <c r="F29" i="6"/>
  <c r="G61" i="6"/>
  <c r="G21" i="6"/>
  <c r="F63" i="6"/>
  <c r="F35" i="6"/>
  <c r="G19" i="6"/>
  <c r="G51" i="6"/>
  <c r="F25" i="6"/>
  <c r="F3" i="6"/>
  <c r="G33" i="5"/>
  <c r="G65" i="5"/>
  <c r="H73" i="5"/>
  <c r="G12" i="5"/>
  <c r="G44" i="5"/>
  <c r="G7" i="5"/>
  <c r="G39" i="5"/>
  <c r="F49" i="5"/>
  <c r="H63" i="5"/>
  <c r="F72" i="5"/>
  <c r="H10" i="5"/>
  <c r="H42" i="5"/>
  <c r="G80" i="5"/>
  <c r="F73" i="5"/>
  <c r="G23" i="4"/>
  <c r="G11" i="4"/>
  <c r="H6" i="6"/>
  <c r="G9" i="6"/>
  <c r="F12" i="6"/>
  <c r="F44" i="6"/>
  <c r="F23" i="6"/>
  <c r="H4" i="6"/>
  <c r="H36" i="6"/>
  <c r="G50" i="6"/>
  <c r="H54" i="6"/>
  <c r="H31" i="6"/>
  <c r="H53" i="6"/>
  <c r="F24" i="6"/>
  <c r="H5" i="6"/>
  <c r="H37" i="6"/>
  <c r="F22" i="6"/>
  <c r="F54" i="6"/>
  <c r="H27" i="6"/>
  <c r="F4" i="5"/>
  <c r="F36" i="5"/>
  <c r="F68" i="5"/>
  <c r="F79" i="5"/>
  <c r="F15" i="5"/>
  <c r="F47" i="5"/>
  <c r="F10" i="5"/>
  <c r="F42" i="5"/>
  <c r="H67" i="5"/>
  <c r="G34" i="5"/>
  <c r="G66" i="5"/>
  <c r="H74" i="5"/>
  <c r="G13" i="5"/>
  <c r="G45" i="5"/>
  <c r="G8" i="5"/>
  <c r="G40" i="5"/>
  <c r="F57" i="5"/>
  <c r="H32" i="5"/>
  <c r="H64" i="5"/>
  <c r="F17" i="5"/>
  <c r="G3" i="5"/>
  <c r="F26" i="4"/>
  <c r="H29" i="4"/>
  <c r="H18" i="4"/>
  <c r="F27" i="4"/>
  <c r="F14" i="4"/>
  <c r="H19" i="4"/>
  <c r="G20" i="5"/>
  <c r="H39" i="5"/>
  <c r="H82" i="5"/>
  <c r="H50" i="5"/>
  <c r="H45" i="5"/>
  <c r="F38" i="5"/>
  <c r="G22" i="5"/>
  <c r="F5" i="4"/>
  <c r="H14" i="4"/>
  <c r="G17" i="4"/>
  <c r="F25" i="4"/>
  <c r="H27" i="5"/>
  <c r="G4" i="4"/>
  <c r="H24" i="4"/>
  <c r="F33" i="5"/>
  <c r="H21" i="4"/>
  <c r="F30" i="5"/>
  <c r="G24" i="4"/>
  <c r="H14" i="6"/>
  <c r="H46" i="6"/>
  <c r="H25" i="6"/>
  <c r="G7" i="6"/>
  <c r="G39" i="6"/>
  <c r="H55" i="6"/>
  <c r="H57" i="6"/>
  <c r="G34" i="6"/>
  <c r="F59" i="6"/>
  <c r="H26" i="6"/>
  <c r="G8" i="6"/>
  <c r="G40" i="6"/>
  <c r="H24" i="6"/>
  <c r="H56" i="6"/>
  <c r="G30" i="6"/>
  <c r="H6" i="5"/>
  <c r="H38" i="5"/>
  <c r="H70" i="5"/>
  <c r="H81" i="5"/>
  <c r="H17" i="5"/>
  <c r="H49" i="5"/>
  <c r="H12" i="5"/>
  <c r="H44" i="5"/>
  <c r="F5" i="5"/>
  <c r="F37" i="5"/>
  <c r="F69" i="5"/>
  <c r="F80" i="5"/>
  <c r="F16" i="5"/>
  <c r="F48" i="5"/>
  <c r="F11" i="5"/>
  <c r="F43" i="5"/>
  <c r="F81" i="5"/>
  <c r="G35" i="5"/>
  <c r="G67" i="5"/>
  <c r="H19" i="5"/>
  <c r="H3" i="5"/>
  <c r="H28" i="4"/>
  <c r="H6" i="4"/>
  <c r="G21" i="4"/>
  <c r="G9" i="4"/>
  <c r="H16" i="4"/>
  <c r="G22" i="4"/>
  <c r="G49" i="6"/>
  <c r="G28" i="6"/>
  <c r="F10" i="6"/>
  <c r="F42" i="6"/>
  <c r="F61" i="6"/>
  <c r="F5" i="6"/>
  <c r="F37" i="6"/>
  <c r="G46" i="6"/>
  <c r="G29" i="6"/>
  <c r="F11" i="6"/>
  <c r="F43" i="6"/>
  <c r="G27" i="6"/>
  <c r="G59" i="6"/>
  <c r="F33" i="6"/>
  <c r="G9" i="5"/>
  <c r="G41" i="5"/>
  <c r="G73" i="5"/>
  <c r="H68" i="5"/>
  <c r="F55" i="5"/>
  <c r="G15" i="5"/>
  <c r="G47" i="5"/>
  <c r="H7" i="5"/>
  <c r="H71" i="5"/>
  <c r="H18" i="5"/>
  <c r="H13" i="5"/>
  <c r="F6" i="5"/>
  <c r="F70" i="5"/>
  <c r="F4" i="4"/>
  <c r="F24" i="4"/>
  <c r="G19" i="4"/>
  <c r="G75" i="5"/>
  <c r="G10" i="4"/>
  <c r="H9" i="4"/>
  <c r="H80" i="5"/>
  <c r="H25" i="4"/>
  <c r="H5" i="5"/>
  <c r="H3" i="4"/>
  <c r="G1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486159-E8BB-4CCA-ACDF-AD84D79669C0}" name="Connection" type="4" refreshedVersion="8" background="1" saveData="1">
    <webPr sourceData="1" parsePre="1" consecutive="1" xl2000="1" url="file://C:\Users\leslieaj\AppData\Local\Temp\SAS Temporary Files\_TD20596_M-5CG8336CV9_\sashtml1.htm#IDX33" htmlTables="1">
      <tables count="1">
        <x v="30"/>
      </tables>
    </webPr>
  </connection>
  <connection id="2" xr16:uid="{52DF26B3-AFD1-4A89-8348-974F37159E87}" name="Connection1" type="4" refreshedVersion="8" background="1" saveData="1">
    <webPr sourceData="1" parsePre="1" consecutive="1" xl2000="1" url="file://C:\Users\leslieaj\AppData\Local\Temp\SAS Temporary Files\_TD20596_M-5CG8336CV9_\sashtml1.htm#IDX33" htmlTables="1">
      <tables count="1">
        <x v="30"/>
      </tables>
    </webPr>
  </connection>
  <connection id="3" xr16:uid="{25FBB90D-7BC9-42FD-80AC-D38E20765AA1}" name="Connection2" type="4" refreshedVersion="8" background="1" saveData="1">
    <webPr sourceData="1" parsePre="1" consecutive="1" xl2000="1" url="file://C:\Users\leslieaj\AppData\Local\Temp\SAS Temporary Files\_TD20596_M-5CG8336CV9_\sashtml1.htm#IDX33" htmlTables="1">
      <tables count="1">
        <x v="30"/>
      </tables>
    </webPr>
  </connection>
</connections>
</file>

<file path=xl/sharedStrings.xml><?xml version="1.0" encoding="utf-8"?>
<sst xmlns="http://schemas.openxmlformats.org/spreadsheetml/2006/main" count="293" uniqueCount="58">
  <si>
    <t>Effect</t>
  </si>
  <si>
    <t>LDVMPH</t>
  </si>
  <si>
    <t>SEX F vs M</t>
  </si>
  <si>
    <t>Frontal</t>
  </si>
  <si>
    <t>95% Wald CI</t>
  </si>
  <si>
    <t>Head</t>
  </si>
  <si>
    <t>Oblique Combined</t>
  </si>
  <si>
    <t>Oblique Right Direction (10,20,30)</t>
  </si>
  <si>
    <t>Oblique Left Direction (330,340,350)</t>
  </si>
  <si>
    <t>Oblique Combined (330,340,350,10,20,30)</t>
  </si>
  <si>
    <t>Frontal (0 degree)</t>
  </si>
  <si>
    <t>Head AIS 3+</t>
  </si>
  <si>
    <t>Chest AIS 3+</t>
  </si>
  <si>
    <t>Lower Extremity AIS 2+</t>
  </si>
  <si>
    <t xml:space="preserve">Lower Extremity AIS 2+      </t>
  </si>
  <si>
    <t xml:space="preserve">Chest AIS 3+      </t>
  </si>
  <si>
    <t xml:space="preserve">Head AIS 3+      </t>
  </si>
  <si>
    <t>BMI (per unit increase)</t>
  </si>
  <si>
    <t>HEIGHT (per centimeter increase)</t>
  </si>
  <si>
    <t>AGE 36-65 vs 18-35</t>
  </si>
  <si>
    <t>AGE 66+ vs 18-35</t>
  </si>
  <si>
    <t>Odds Ratio</t>
  </si>
  <si>
    <t>PDOF R vs L</t>
  </si>
  <si>
    <t>Parameter</t>
  </si>
  <si>
    <t>Intercept</t>
  </si>
  <si>
    <t>BMI</t>
  </si>
  <si>
    <t>F</t>
  </si>
  <si>
    <t>PDOF R</t>
  </si>
  <si>
    <t>PDOF L</t>
  </si>
  <si>
    <t>Oblique Left</t>
  </si>
  <si>
    <t>Oblique Right</t>
  </si>
  <si>
    <t>LowerExtremity</t>
  </si>
  <si>
    <t>Body Region</t>
  </si>
  <si>
    <t>Direction</t>
  </si>
  <si>
    <t>Other Factors</t>
  </si>
  <si>
    <t>Height</t>
  </si>
  <si>
    <t>Delta-V (mph)</t>
  </si>
  <si>
    <t>Height (cm)</t>
  </si>
  <si>
    <t>Age 18-35</t>
  </si>
  <si>
    <t>Age 36-65</t>
  </si>
  <si>
    <t>Age 66+</t>
  </si>
  <si>
    <t>Estimated Risk of Injury</t>
  </si>
  <si>
    <t>log(delta-V mph)</t>
  </si>
  <si>
    <t>Sex F</t>
  </si>
  <si>
    <t>Sex M</t>
  </si>
  <si>
    <t>Sex</t>
  </si>
  <si>
    <t>Delta-V mph</t>
  </si>
  <si>
    <t>*</t>
  </si>
  <si>
    <t>**</t>
  </si>
  <si>
    <t>Oblique (Combined)</t>
  </si>
  <si>
    <t>Oblique (Left)</t>
  </si>
  <si>
    <t>Oblique (Right)</t>
  </si>
  <si>
    <t>HEAD AIS 3+</t>
  </si>
  <si>
    <t>CHEST AIS 3+</t>
  </si>
  <si>
    <t>LOWER EXTREMITY AIS 2+</t>
  </si>
  <si>
    <t>** = p-value &lt; 0.01</t>
  </si>
  <si>
    <t>* = p-value &lt; 0.05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</si>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</sst>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0" xfId="0" applyNumberFormat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0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164" fontId="0" fillId="0" borderId="14" xfId="0" applyNumberFormat="1" applyBorder="1"/>
    <xf numFmtId="164" fontId="0" fillId="0" borderId="15" xfId="0" applyNumberFormat="1" applyBorder="1"/>
    <xf numFmtId="0" fontId="1" fillId="0" borderId="0" xfId="0" applyFont="1"/>
    <xf numFmtId="0" fontId="0" fillId="3" borderId="0" xfId="0" applyFill="1"/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left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0" xfId="0" applyFont="1" applyBorder="1"/>
    <xf numFmtId="0" fontId="2" fillId="0" borderId="12" xfId="0" applyFont="1" applyBorder="1"/>
    <xf numFmtId="0" fontId="2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33114610673666"/>
          <c:y val="5.0925925925925923E-2"/>
          <c:w val="0.78623797025371833"/>
          <c:h val="0.7435032079323418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'BMI Table'!$F$2</c:f>
              <c:strCache>
                <c:ptCount val="1"/>
                <c:pt idx="0">
                  <c:v>Age 18-35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'BMI Table'!$E$3:$E$63</c:f>
              <c:numCache>
                <c:formatCode>General</c:formatCode>
                <c:ptCount val="61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</c:numCache>
            </c:numRef>
          </c:xVal>
          <c:yVal>
            <c:numRef>
              <c:f>'BMI Table'!$F$3:$F$63</c:f>
              <c:numCache>
                <c:formatCode>0.0%</c:formatCode>
                <c:ptCount val="61"/>
                <c:pt idx="0">
                  <c:v>0.25576867299884271</c:v>
                </c:pt>
                <c:pt idx="1">
                  <c:v>0.26910296970654601</c:v>
                </c:pt>
                <c:pt idx="2">
                  <c:v>0.28286821731988487</c:v>
                </c:pt>
                <c:pt idx="3">
                  <c:v>0.29705141902062365</c:v>
                </c:pt>
                <c:pt idx="4">
                  <c:v>0.31163673638196115</c:v>
                </c:pt>
                <c:pt idx="5">
                  <c:v>0.32660546120225598</c:v>
                </c:pt>
                <c:pt idx="6">
                  <c:v>0.34193602496771547</c:v>
                </c:pt>
                <c:pt idx="7">
                  <c:v>0.35760404870561441</c:v>
                </c:pt>
                <c:pt idx="8">
                  <c:v>0.37358243516871326</c:v>
                </c:pt>
                <c:pt idx="9">
                  <c:v>0.38984150432811893</c:v>
                </c:pt>
                <c:pt idx="10">
                  <c:v>0.40634917207278748</c:v>
                </c:pt>
                <c:pt idx="11">
                  <c:v>0.42307117085500567</c:v>
                </c:pt>
                <c:pt idx="12">
                  <c:v>0.43997130982588112</c:v>
                </c:pt>
                <c:pt idx="13">
                  <c:v>0.45701177082208444</c:v>
                </c:pt>
                <c:pt idx="14">
                  <c:v>0.47415343544675881</c:v>
                </c:pt>
                <c:pt idx="15">
                  <c:v>0.49135623748543905</c:v>
                </c:pt>
                <c:pt idx="16">
                  <c:v>0.50857953406043233</c:v>
                </c:pt>
                <c:pt idx="17">
                  <c:v>0.52578248829614782</c:v>
                </c:pt>
                <c:pt idx="18">
                  <c:v>0.54292445587549476</c:v>
                </c:pt>
                <c:pt idx="19">
                  <c:v>0.55996536773404759</c:v>
                </c:pt>
                <c:pt idx="20">
                  <c:v>0.57686610127111115</c:v>
                </c:pt>
                <c:pt idx="21">
                  <c:v>0.59358883284825081</c:v>
                </c:pt>
                <c:pt idx="22">
                  <c:v>0.61009736497597544</c:v>
                </c:pt>
                <c:pt idx="23">
                  <c:v>0.62635742242596237</c:v>
                </c:pt>
                <c:pt idx="24">
                  <c:v>0.64233691250775149</c:v>
                </c:pt>
                <c:pt idx="25">
                  <c:v>0.65800614586682915</c:v>
                </c:pt>
                <c:pt idx="26">
                  <c:v>0.67333801534366511</c:v>
                </c:pt>
                <c:pt idx="27">
                  <c:v>0.68830813162861959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98-497C-9D06-14FF26A6E454}"/>
            </c:ext>
          </c:extLst>
        </c:ser>
        <c:ser>
          <c:idx val="1"/>
          <c:order val="1"/>
          <c:tx>
            <c:strRef>
              <c:f>'BMI Table'!$G$2</c:f>
              <c:strCache>
                <c:ptCount val="1"/>
                <c:pt idx="0">
                  <c:v>Age 36-65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'BMI Table'!$E$3:$E$63</c:f>
              <c:numCache>
                <c:formatCode>General</c:formatCode>
                <c:ptCount val="61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</c:numCache>
            </c:numRef>
          </c:xVal>
          <c:yVal>
            <c:numRef>
              <c:f>'BMI Table'!$G$3:$G$63</c:f>
              <c:numCache>
                <c:formatCode>0.0%</c:formatCode>
                <c:ptCount val="61"/>
                <c:pt idx="0">
                  <c:v>0.27198425541452925</c:v>
                </c:pt>
                <c:pt idx="1">
                  <c:v>0.28583924840034269</c:v>
                </c:pt>
                <c:pt idx="2">
                  <c:v>0.30010907805378922</c:v>
                </c:pt>
                <c:pt idx="3">
                  <c:v>0.31477729896934992</c:v>
                </c:pt>
                <c:pt idx="4">
                  <c:v>0.32982459472559805</c:v>
                </c:pt>
                <c:pt idx="5">
                  <c:v>0.34522879570146847</c:v>
                </c:pt>
                <c:pt idx="6">
                  <c:v>0.36096493776796656</c:v>
                </c:pt>
                <c:pt idx="7">
                  <c:v>0.37700536360296949</c:v>
                </c:pt>
                <c:pt idx="8">
                  <c:v>0.39331986738628466</c:v>
                </c:pt>
                <c:pt idx="9">
                  <c:v>0.40987588253290835</c:v>
                </c:pt>
                <c:pt idx="10">
                  <c:v>0.42663871095198985</c:v>
                </c:pt>
                <c:pt idx="11">
                  <c:v>0.44357179112212869</c:v>
                </c:pt>
                <c:pt idx="12">
                  <c:v>0.4606370011001189</c:v>
                </c:pt>
                <c:pt idx="13">
                  <c:v>0.47779499148229854</c:v>
                </c:pt>
                <c:pt idx="14">
                  <c:v>0.49500554236662736</c:v>
                </c:pt>
                <c:pt idx="15">
                  <c:v>0.51222793756675511</c:v>
                </c:pt>
                <c:pt idx="16">
                  <c:v>0.52942134874662228</c:v>
                </c:pt>
                <c:pt idx="17">
                  <c:v>0.54654522180538501</c:v>
                </c:pt>
                <c:pt idx="18">
                  <c:v>0.56355965776523864</c:v>
                </c:pt>
                <c:pt idx="19">
                  <c:v>0.58042578060309424</c:v>
                </c:pt>
                <c:pt idx="20">
                  <c:v>0.59710608491117223</c:v>
                </c:pt>
                <c:pt idx="21">
                  <c:v>0.61356475694853985</c:v>
                </c:pt>
                <c:pt idx="22">
                  <c:v>0.62976796352099318</c:v>
                </c:pt>
                <c:pt idx="23">
                  <c:v>0.64568410415710886</c:v>
                </c:pt>
                <c:pt idx="24">
                  <c:v>0.66128402318436696</c:v>
                </c:pt>
                <c:pt idx="25">
                  <c:v>0.67654117949885562</c:v>
                </c:pt>
                <c:pt idx="26">
                  <c:v>0.69143177301367931</c:v>
                </c:pt>
                <c:pt idx="27">
                  <c:v>0.70593482791678841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98-497C-9D06-14FF26A6E454}"/>
            </c:ext>
          </c:extLst>
        </c:ser>
        <c:ser>
          <c:idx val="2"/>
          <c:order val="2"/>
          <c:tx>
            <c:strRef>
              <c:f>'BMI Table'!$H$2</c:f>
              <c:strCache>
                <c:ptCount val="1"/>
                <c:pt idx="0">
                  <c:v>Age 66+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'BMI Table'!$E$3:$E$63</c:f>
              <c:numCache>
                <c:formatCode>General</c:formatCode>
                <c:ptCount val="61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</c:numCache>
            </c:numRef>
          </c:xVal>
          <c:yVal>
            <c:numRef>
              <c:f>'BMI Table'!$H$3:$H$63</c:f>
              <c:numCache>
                <c:formatCode>0.0%</c:formatCode>
                <c:ptCount val="61"/>
                <c:pt idx="0">
                  <c:v>0.46252578126680521</c:v>
                </c:pt>
                <c:pt idx="1">
                  <c:v>0.47969155513966183</c:v>
                </c:pt>
                <c:pt idx="2">
                  <c:v>0.49690541575806108</c:v>
                </c:pt>
                <c:pt idx="3">
                  <c:v>0.51412661560855355</c:v>
                </c:pt>
                <c:pt idx="4">
                  <c:v>0.53131433767866731</c:v>
                </c:pt>
                <c:pt idx="5">
                  <c:v>0.54842808161447909</c:v>
                </c:pt>
                <c:pt idx="6">
                  <c:v>0.56542804353326404</c:v>
                </c:pt>
                <c:pt idx="7">
                  <c:v>0.58227548196892343</c:v>
                </c:pt>
                <c:pt idx="8">
                  <c:v>0.59893306289903792</c:v>
                </c:pt>
                <c:pt idx="9">
                  <c:v>0.61536517750311359</c:v>
                </c:pt>
                <c:pt idx="10">
                  <c:v>0.63153822719633212</c:v>
                </c:pt>
                <c:pt idx="11">
                  <c:v>0.64742087152769712</c:v>
                </c:pt>
                <c:pt idx="12">
                  <c:v>0.66298423567601994</c:v>
                </c:pt>
                <c:pt idx="13">
                  <c:v>0.67820207546951405</c:v>
                </c:pt>
                <c:pt idx="14">
                  <c:v>0.69305089904356143</c:v>
                </c:pt>
                <c:pt idx="15">
                  <c:v>0.70751004538903872</c:v>
                </c:pt>
                <c:pt idx="16">
                  <c:v>0.72156172108928951</c:v>
                </c:pt>
                <c:pt idx="17">
                  <c:v>0.7351909974643438</c:v>
                </c:pt>
                <c:pt idx="18">
                  <c:v>0.74838577111236226</c:v>
                </c:pt>
                <c:pt idx="19">
                  <c:v>0.76113669144608909</c:v>
                </c:pt>
                <c:pt idx="20">
                  <c:v>0.77343705926096984</c:v>
                </c:pt>
                <c:pt idx="21">
                  <c:v>0.78528270064452965</c:v>
                </c:pt>
                <c:pt idx="22">
                  <c:v>0.79667182065354158</c:v>
                </c:pt>
                <c:pt idx="23">
                  <c:v>0.8076048411619241</c:v>
                </c:pt>
                <c:pt idx="24">
                  <c:v>0.81808422713751605</c:v>
                </c:pt>
                <c:pt idx="25">
                  <c:v>0.82811430536151753</c:v>
                </c:pt>
                <c:pt idx="26">
                  <c:v>0.83770107928293813</c:v>
                </c:pt>
                <c:pt idx="27">
                  <c:v>0.84685204332391228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98-497C-9D06-14FF26A6E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681712"/>
        <c:axId val="721761792"/>
      </c:scatterChart>
      <c:valAx>
        <c:axId val="852681712"/>
        <c:scaling>
          <c:orientation val="minMax"/>
          <c:max val="45"/>
          <c:min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BMI (kg/m</a:t>
                </a:r>
                <a:r>
                  <a:rPr lang="en-US" sz="1400" b="1" baseline="30000"/>
                  <a:t>2</a:t>
                </a:r>
                <a:r>
                  <a:rPr lang="en-US" sz="1400" b="1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61792"/>
        <c:crosses val="autoZero"/>
        <c:crossBetween val="midCat"/>
      </c:valAx>
      <c:valAx>
        <c:axId val="7217617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Injury Risks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681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8901356080489939"/>
          <c:y val="4.484871682706329E-2"/>
          <c:w val="0.2610252624671916"/>
          <c:h val="0.267995406824146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33114610673666"/>
          <c:y val="5.0925925925925923E-2"/>
          <c:w val="0.78623797025371833"/>
          <c:h val="0.7435032079323418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'DeltaV Table'!$F$2</c:f>
              <c:strCache>
                <c:ptCount val="1"/>
                <c:pt idx="0">
                  <c:v>Age 18-35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'DeltaV Table'!$E$3:$E$63</c:f>
              <c:numCache>
                <c:formatCode>General</c:formatCode>
                <c:ptCount val="6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</c:numCache>
            </c:numRef>
          </c:xVal>
          <c:yVal>
            <c:numRef>
              <c:f>'DeltaV Table'!$F$3:$F$63</c:f>
              <c:numCache>
                <c:formatCode>0.0%</c:formatCode>
                <c:ptCount val="61"/>
                <c:pt idx="0">
                  <c:v>2.1376280299247687E-2</c:v>
                </c:pt>
                <c:pt idx="1">
                  <c:v>2.8823711399750426E-2</c:v>
                </c:pt>
                <c:pt idx="2">
                  <c:v>3.7780618038572689E-2</c:v>
                </c:pt>
                <c:pt idx="3">
                  <c:v>4.8337771937145946E-2</c:v>
                </c:pt>
                <c:pt idx="4">
                  <c:v>6.0560758887757492E-2</c:v>
                </c:pt>
                <c:pt idx="5">
                  <c:v>7.448674021783333E-2</c:v>
                </c:pt>
                <c:pt idx="6">
                  <c:v>9.012204779383963E-2</c:v>
                </c:pt>
                <c:pt idx="7">
                  <c:v>0.10744082336105854</c:v>
                </c:pt>
                <c:pt idx="8">
                  <c:v>0.12638485574539945</c:v>
                </c:pt>
                <c:pt idx="9">
                  <c:v>0.14686469115059084</c:v>
                </c:pt>
                <c:pt idx="10">
                  <c:v>0.16876200029448143</c:v>
                </c:pt>
                <c:pt idx="11">
                  <c:v>0.19193309178115542</c:v>
                </c:pt>
                <c:pt idx="12">
                  <c:v>0.21621337516829514</c:v>
                </c:pt>
                <c:pt idx="13">
                  <c:v>0.24142250996507808</c:v>
                </c:pt>
                <c:pt idx="14">
                  <c:v>0.26736993586349028</c:v>
                </c:pt>
                <c:pt idx="15">
                  <c:v>0.29386046850294378</c:v>
                </c:pt>
                <c:pt idx="16">
                  <c:v>0.32069966328671751</c:v>
                </c:pt>
                <c:pt idx="17">
                  <c:v>0.34769869260911168</c:v>
                </c:pt>
                <c:pt idx="18">
                  <c:v>0.37467854195955719</c:v>
                </c:pt>
                <c:pt idx="19">
                  <c:v>0.40147339913204477</c:v>
                </c:pt>
                <c:pt idx="20">
                  <c:v>0.42793317980876244</c:v>
                </c:pt>
                <c:pt idx="21">
                  <c:v>0.45392519515319213</c:v>
                </c:pt>
                <c:pt idx="22">
                  <c:v>0.47933501792153826</c:v>
                </c:pt>
                <c:pt idx="23">
                  <c:v>0.50406664050186245</c:v>
                </c:pt>
                <c:pt idx="24">
                  <c:v>0.5280420408594918</c:v>
                </c:pt>
                <c:pt idx="25">
                  <c:v>0.551200281883793</c:v>
                </c:pt>
                <c:pt idx="26">
                  <c:v>0.57349626841560963</c:v>
                </c:pt>
                <c:pt idx="27">
                  <c:v>0.59489927707654711</c:v>
                </c:pt>
                <c:pt idx="28">
                  <c:v>0.61539135971704684</c:v>
                </c:pt>
                <c:pt idx="29">
                  <c:v>0.63496570433337385</c:v>
                </c:pt>
                <c:pt idx="30">
                  <c:v>0.65362501967114139</c:v>
                </c:pt>
                <c:pt idx="31">
                  <c:v>0.67137999288930983</c:v>
                </c:pt>
                <c:pt idx="32">
                  <c:v>0.6882478545448153</c:v>
                </c:pt>
                <c:pt idx="33">
                  <c:v>0.70425107227985662</c:v>
                </c:pt>
                <c:pt idx="34">
                  <c:v>0.71941618412084118</c:v>
                </c:pt>
                <c:pt idx="35">
                  <c:v>0.73377277416256437</c:v>
                </c:pt>
                <c:pt idx="36">
                  <c:v>0.74735258739675847</c:v>
                </c:pt>
                <c:pt idx="37">
                  <c:v>0.76018877625507386</c:v>
                </c:pt>
                <c:pt idx="38">
                  <c:v>0.77231526875017975</c:v>
                </c:pt>
                <c:pt idx="39">
                  <c:v>0.78376624660001648</c:v>
                </c:pt>
                <c:pt idx="40">
                  <c:v>0.79457572112339137</c:v>
                </c:pt>
                <c:pt idx="41">
                  <c:v>0.80477719475358767</c:v>
                </c:pt>
                <c:pt idx="42">
                  <c:v>0.81440339652715055</c:v>
                </c:pt>
                <c:pt idx="43">
                  <c:v>0.8234860807055765</c:v>
                </c:pt>
                <c:pt idx="44">
                  <c:v>0.83205587865397979</c:v>
                </c:pt>
                <c:pt idx="45">
                  <c:v>0.84014219514072919</c:v>
                </c:pt>
                <c:pt idx="46">
                  <c:v>0.84777314126982251</c:v>
                </c:pt>
                <c:pt idx="47">
                  <c:v>0.85497549726874023</c:v>
                </c:pt>
                <c:pt idx="48">
                  <c:v>0.8617746993003137</c:v>
                </c:pt>
                <c:pt idx="49">
                  <c:v>0.86819484533155367</c:v>
                </c:pt>
                <c:pt idx="50">
                  <c:v>0.87425871586802717</c:v>
                </c:pt>
                <c:pt idx="51">
                  <c:v>0.87998780604805926</c:v>
                </c:pt>
                <c:pt idx="52">
                  <c:v>0.88540236618966683</c:v>
                </c:pt>
                <c:pt idx="53">
                  <c:v>0.89052144840027969</c:v>
                </c:pt>
                <c:pt idx="54">
                  <c:v>0.89536295730184379</c:v>
                </c:pt>
                <c:pt idx="55">
                  <c:v>0.89994370329954765</c:v>
                </c:pt>
                <c:pt idx="56">
                  <c:v>0.90427945713882374</c:v>
                </c:pt>
                <c:pt idx="57">
                  <c:v>0.90838500475992368</c:v>
                </c:pt>
                <c:pt idx="58">
                  <c:v>0.91227420167925521</c:v>
                </c:pt>
                <c:pt idx="59">
                  <c:v>0.91596002630813944</c:v>
                </c:pt>
                <c:pt idx="60">
                  <c:v>0.91945463176842779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31-4B19-A2DD-5A694BDA8AC6}"/>
            </c:ext>
          </c:extLst>
        </c:ser>
        <c:ser>
          <c:idx val="1"/>
          <c:order val="1"/>
          <c:tx>
            <c:strRef>
              <c:f>'DeltaV Table'!$G$2</c:f>
              <c:strCache>
                <c:ptCount val="1"/>
                <c:pt idx="0">
                  <c:v>Age 36-65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'DeltaV Table'!$E$3:$E$63</c:f>
              <c:numCache>
                <c:formatCode>General</c:formatCode>
                <c:ptCount val="6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</c:numCache>
            </c:numRef>
          </c:xVal>
          <c:yVal>
            <c:numRef>
              <c:f>'DeltaV Table'!$G$3:$G$63</c:f>
              <c:numCache>
                <c:formatCode>0.0%</c:formatCode>
                <c:ptCount val="61"/>
                <c:pt idx="0">
                  <c:v>2.3194660066912707E-2</c:v>
                </c:pt>
                <c:pt idx="1">
                  <c:v>3.1255375796373663E-2</c:v>
                </c:pt>
                <c:pt idx="2">
                  <c:v>4.0936066181654358E-2</c:v>
                </c:pt>
                <c:pt idx="3">
                  <c:v>5.2327006403541217E-2</c:v>
                </c:pt>
                <c:pt idx="4">
                  <c:v>6.5489318437235169E-2</c:v>
                </c:pt>
                <c:pt idx="5">
                  <c:v>8.0451569329527253E-2</c:v>
                </c:pt>
                <c:pt idx="6">
                  <c:v>9.7207432834244586E-2</c:v>
                </c:pt>
                <c:pt idx="7">
                  <c:v>0.11571464567540003</c:v>
                </c:pt>
                <c:pt idx="8">
                  <c:v>0.13589540895059313</c:v>
                </c:pt>
                <c:pt idx="9">
                  <c:v>0.15763828125508933</c:v>
                </c:pt>
                <c:pt idx="10">
                  <c:v>0.18080149459450751</c:v>
                </c:pt>
                <c:pt idx="11">
                  <c:v>0.20521751120516016</c:v>
                </c:pt>
                <c:pt idx="12">
                  <c:v>0.23069854331518108</c:v>
                </c:pt>
                <c:pt idx="13">
                  <c:v>0.25704269054868467</c:v>
                </c:pt>
                <c:pt idx="14">
                  <c:v>0.28404031848329869</c:v>
                </c:pt>
                <c:pt idx="15">
                  <c:v>0.3114803085655623</c:v>
                </c:pt>
                <c:pt idx="16">
                  <c:v>0.33915585035255119</c:v>
                </c:pt>
                <c:pt idx="17">
                  <c:v>0.36686951367219495</c:v>
                </c:pt>
                <c:pt idx="18">
                  <c:v>0.39443742006147026</c:v>
                </c:pt>
                <c:pt idx="19">
                  <c:v>0.4216924186107241</c:v>
                </c:pt>
                <c:pt idx="20">
                  <c:v>0.44848625135637327</c:v>
                </c:pt>
                <c:pt idx="21">
                  <c:v>0.47469076045314301</c:v>
                </c:pt>
                <c:pt idx="22">
                  <c:v>0.50019823943087294</c:v>
                </c:pt>
                <c:pt idx="23">
                  <c:v>0.52492106274810479</c:v>
                </c:pt>
                <c:pt idx="24">
                  <c:v>0.54879074279979467</c:v>
                </c:pt>
                <c:pt idx="25">
                  <c:v>0.57175656429051747</c:v>
                </c:pt>
                <c:pt idx="26">
                  <c:v>0.59378393598836454</c:v>
                </c:pt>
                <c:pt idx="27">
                  <c:v>0.61485258297468581</c:v>
                </c:pt>
                <c:pt idx="28">
                  <c:v>0.63495468188564841</c:v>
                </c:pt>
                <c:pt idx="29">
                  <c:v>0.65409301996254243</c:v>
                </c:pt>
                <c:pt idx="30">
                  <c:v>0.67227923793107791</c:v>
                </c:pt>
                <c:pt idx="31">
                  <c:v>0.68953219807103927</c:v>
                </c:pt>
                <c:pt idx="32">
                  <c:v>0.70587650298877547</c:v>
                </c:pt>
                <c:pt idx="33">
                  <c:v>0.72134117778878959</c:v>
                </c:pt>
                <c:pt idx="34">
                  <c:v>0.73595851846598559</c:v>
                </c:pt>
                <c:pt idx="35">
                  <c:v>0.74976310212060315</c:v>
                </c:pt>
                <c:pt idx="36">
                  <c:v>0.7627909496469788</c:v>
                </c:pt>
                <c:pt idx="37">
                  <c:v>0.77507882844681075</c:v>
                </c:pt>
                <c:pt idx="38">
                  <c:v>0.78666368106359785</c:v>
                </c:pt>
                <c:pt idx="39">
                  <c:v>0.79758216506425694</c:v>
                </c:pt>
                <c:pt idx="40">
                  <c:v>0.80787028969743324</c:v>
                </c:pt>
                <c:pt idx="41">
                  <c:v>0.81756313558342486</c:v>
                </c:pt>
                <c:pt idx="42">
                  <c:v>0.82669464474015208</c:v>
                </c:pt>
                <c:pt idx="43">
                  <c:v>0.83529746947338745</c:v>
                </c:pt>
                <c:pt idx="44">
                  <c:v>0.84340286994858815</c:v>
                </c:pt>
                <c:pt idx="45">
                  <c:v>0.8510406515400476</c:v>
                </c:pt>
                <c:pt idx="46">
                  <c:v>0.85823913427059884</c:v>
                </c:pt>
                <c:pt idx="47">
                  <c:v>0.86502514778117512</c:v>
                </c:pt>
                <c:pt idx="48">
                  <c:v>0.87142404628806569</c:v>
                </c:pt>
                <c:pt idx="49">
                  <c:v>0.87745973889079931</c:v>
                </c:pt>
                <c:pt idx="50">
                  <c:v>0.88315473138630285</c:v>
                </c:pt>
                <c:pt idx="51">
                  <c:v>0.8885301764308865</c:v>
                </c:pt>
                <c:pt idx="52">
                  <c:v>0.89360592947889472</c:v>
                </c:pt>
                <c:pt idx="53">
                  <c:v>0.89840060842512681</c:v>
                </c:pt>
                <c:pt idx="54">
                  <c:v>0.90293165529734631</c:v>
                </c:pt>
                <c:pt idx="55">
                  <c:v>0.90721539869524692</c:v>
                </c:pt>
                <c:pt idx="56">
                  <c:v>0.9112671159624206</c:v>
                </c:pt>
                <c:pt idx="57">
                  <c:v>0.9151010943167518</c:v>
                </c:pt>
                <c:pt idx="58">
                  <c:v>0.91873069035992927</c:v>
                </c:pt>
                <c:pt idx="59">
                  <c:v>0.92216838754527253</c:v>
                </c:pt>
                <c:pt idx="60">
                  <c:v>0.92542585131073807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31-4B19-A2DD-5A694BDA8AC6}"/>
            </c:ext>
          </c:extLst>
        </c:ser>
        <c:ser>
          <c:idx val="2"/>
          <c:order val="2"/>
          <c:tx>
            <c:strRef>
              <c:f>'DeltaV Table'!$H$2</c:f>
              <c:strCache>
                <c:ptCount val="1"/>
                <c:pt idx="0">
                  <c:v>Age 66+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'DeltaV Table'!$E$3:$E$63</c:f>
              <c:numCache>
                <c:formatCode>General</c:formatCode>
                <c:ptCount val="6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</c:numCache>
            </c:numRef>
          </c:xVal>
          <c:yVal>
            <c:numRef>
              <c:f>'DeltaV Table'!$H$3:$H$63</c:f>
              <c:numCache>
                <c:formatCode>0.0%</c:formatCode>
                <c:ptCount val="61"/>
                <c:pt idx="0">
                  <c:v>5.1859463240875495E-2</c:v>
                </c:pt>
                <c:pt idx="1">
                  <c:v>6.917642428027948E-2</c:v>
                </c:pt>
                <c:pt idx="2">
                  <c:v>8.9517034633689097E-2</c:v>
                </c:pt>
                <c:pt idx="3">
                  <c:v>0.11283575318099387</c:v>
                </c:pt>
                <c:pt idx="4">
                  <c:v>0.13898618558249751</c:v>
                </c:pt>
                <c:pt idx="5">
                  <c:v>0.16772637477971275</c:v>
                </c:pt>
                <c:pt idx="6">
                  <c:v>0.19873083051359255</c:v>
                </c:pt>
                <c:pt idx="7">
                  <c:v>0.23160820145760558</c:v>
                </c:pt>
                <c:pt idx="8">
                  <c:v>0.26592277680901988</c:v>
                </c:pt>
                <c:pt idx="9">
                  <c:v>0.30121759944156928</c:v>
                </c:pt>
                <c:pt idx="10">
                  <c:v>0.33703694408091811</c:v>
                </c:pt>
                <c:pt idx="11">
                  <c:v>0.37294623221436968</c:v>
                </c:pt>
                <c:pt idx="12">
                  <c:v>0.408548016197047</c:v>
                </c:pt>
                <c:pt idx="13">
                  <c:v>0.44349332758253518</c:v>
                </c:pt>
                <c:pt idx="14">
                  <c:v>0.47748831468544617</c:v>
                </c:pt>
                <c:pt idx="15">
                  <c:v>0.51029659488123857</c:v>
                </c:pt>
                <c:pt idx="16">
                  <c:v>0.54173807152705289</c:v>
                </c:pt>
                <c:pt idx="17">
                  <c:v>0.57168511303200853</c:v>
                </c:pt>
                <c:pt idx="18">
                  <c:v>0.60005699346690722</c:v>
                </c:pt>
                <c:pt idx="19">
                  <c:v>0.6268133956802272</c:v>
                </c:pt>
                <c:pt idx="20">
                  <c:v>0.6519476251716203</c:v>
                </c:pt>
                <c:pt idx="21">
                  <c:v>0.67548001375937949</c:v>
                </c:pt>
                <c:pt idx="22">
                  <c:v>0.69745183250034615</c:v>
                </c:pt>
                <c:pt idx="23">
                  <c:v>0.7179198981618623</c:v>
                </c:pt>
                <c:pt idx="24">
                  <c:v>0.73695195255209189</c:v>
                </c:pt>
                <c:pt idx="25">
                  <c:v>0.75462281882086346</c:v>
                </c:pt>
                <c:pt idx="26">
                  <c:v>0.77101128962969789</c:v>
                </c:pt>
                <c:pt idx="27">
                  <c:v>0.78619767360304726</c:v>
                </c:pt>
                <c:pt idx="28">
                  <c:v>0.80026191333971064</c:v>
                </c:pt>
                <c:pt idx="29">
                  <c:v>0.81328218571688793</c:v>
                </c:pt>
                <c:pt idx="30">
                  <c:v>0.82533389940282742</c:v>
                </c:pt>
                <c:pt idx="31">
                  <c:v>0.83648901250109742</c:v>
                </c:pt>
                <c:pt idx="32">
                  <c:v>0.84681560302314718</c:v>
                </c:pt>
                <c:pt idx="33">
                  <c:v>0.85637763506000042</c:v>
                </c:pt>
                <c:pt idx="34">
                  <c:v>0.86523487325760273</c:v>
                </c:pt>
                <c:pt idx="35">
                  <c:v>0.87344290702905369</c:v>
                </c:pt>
                <c:pt idx="36">
                  <c:v>0.88105325365227605</c:v>
                </c:pt>
                <c:pt idx="37">
                  <c:v>0.88811351595934696</c:v>
                </c:pt>
                <c:pt idx="38">
                  <c:v>0.89466757577740164</c:v>
                </c:pt>
                <c:pt idx="39">
                  <c:v>0.90075580873651351</c:v>
                </c:pt>
                <c:pt idx="40">
                  <c:v>0.90641530964536576</c:v>
                </c:pt>
                <c:pt idx="41">
                  <c:v>0.91168012048247804</c:v>
                </c:pt>
                <c:pt idx="42">
                  <c:v>0.91658145528379764</c:v>
                </c:pt>
                <c:pt idx="43">
                  <c:v>0.92114791793843287</c:v>
                </c:pt>
                <c:pt idx="44">
                  <c:v>0.92540571023028673</c:v>
                </c:pt>
                <c:pt idx="45">
                  <c:v>0.92937882846642017</c:v>
                </c:pt>
                <c:pt idx="46">
                  <c:v>0.93308924778129276</c:v>
                </c:pt>
                <c:pt idx="47">
                  <c:v>0.93655709375520824</c:v>
                </c:pt>
                <c:pt idx="48">
                  <c:v>0.93980080138033062</c:v>
                </c:pt>
                <c:pt idx="49">
                  <c:v>0.94283726168435322</c:v>
                </c:pt>
                <c:pt idx="50">
                  <c:v>0.9456819565087361</c:v>
                </c:pt>
                <c:pt idx="51">
                  <c:v>0.94834908205766499</c:v>
                </c:pt>
                <c:pt idx="52">
                  <c:v>0.95085166190286408</c:v>
                </c:pt>
                <c:pt idx="53">
                  <c:v>0.95320165016162151</c:v>
                </c:pt>
                <c:pt idx="54">
                  <c:v>0.95541002557109334</c:v>
                </c:pt>
                <c:pt idx="55">
                  <c:v>0.95748687716908332</c:v>
                </c:pt>
                <c:pt idx="56">
                  <c:v>0.9594414822659475</c:v>
                </c:pt>
                <c:pt idx="57">
                  <c:v>0.96128237735852573</c:v>
                </c:pt>
                <c:pt idx="58">
                  <c:v>0.96301742259834899</c:v>
                </c:pt>
                <c:pt idx="59">
                  <c:v>0.96465386038523693</c:v>
                </c:pt>
                <c:pt idx="60">
                  <c:v>0.96619836861552477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31-4B19-A2DD-5A694BDA8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681712"/>
        <c:axId val="721761792"/>
      </c:scatterChart>
      <c:valAx>
        <c:axId val="852681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Delta-V (mph)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61792"/>
        <c:crosses val="autoZero"/>
        <c:crossBetween val="midCat"/>
      </c:valAx>
      <c:valAx>
        <c:axId val="7217617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Injury Risks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681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67913385826771"/>
          <c:y val="0.11429316127150772"/>
          <c:w val="0.2610252624671916"/>
          <c:h val="0.267995406824146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982980</xdr:colOff>
      <xdr:row>6</xdr:row>
      <xdr:rowOff>91440</xdr:rowOff>
    </xdr:from>
    <xdr:to>
      <xdr:col>10</xdr:col>
      <xdr:colOff>381000</xdr:colOff>
      <xdr:row>21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74FA3D-168C-44BD-BBFF-822B566C2A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647700</xdr:colOff>
      <xdr:row>6</xdr:row>
      <xdr:rowOff>140970</xdr:rowOff>
    </xdr:from>
    <xdr:to>
      <xdr:col>10</xdr:col>
      <xdr:colOff>45720</xdr:colOff>
      <xdr:row>21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BEAC09-5A95-0862-4060-51BA3A5C2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14</xdr:row>
      <xdr:rowOff>163830</xdr:rowOff>
    </xdr:from>
    <xdr:ext cx="8244840" cy="1979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12FD6B3-980F-4310-FA23-280C7F160C17}"/>
                </a:ext>
              </a:extLst>
            </xdr:cNvPr>
            <xdr:cNvSpPr txBox="1"/>
          </xdr:nvSpPr>
          <xdr:spPr>
            <a:xfrm>
              <a:off x="731520" y="2724150"/>
              <a:ext cx="8244840" cy="1979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𝜂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d>
                          <m:dPr>
                            <m:begChr m:val="["/>
                            <m:endChr m:val="]"/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𝐼𝑛𝑡𝑒𝑟𝑐𝑒𝑝𝑡</m:t>
                            </m:r>
                          </m:e>
                        </m:d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d>
                          <m:dPr>
                            <m:begChr m:val="["/>
                            <m:endChr m:val="]"/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𝐿𝐷𝑉𝑀𝑃𝐻</m:t>
                            </m:r>
                          </m:e>
                        </m:d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∗</m:t>
                    </m:r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ln</m:t>
                        </m:r>
                      </m:fName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𝑑𝑒𝑙𝑡𝑎𝑉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 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𝑚𝑝h</m:t>
                                </m:r>
                              </m:sub>
                            </m:sSub>
                          </m:e>
                        </m:d>
                      </m:e>
                    </m:func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d>
                          <m:dPr>
                            <m:begChr m:val="["/>
                            <m:endChr m:val="]"/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𝑅𝑒𝑙𝑒𝑣𝑎𝑛𝑡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𝐴𝑔𝑒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𝑇𝑒𝑟𝑚</m:t>
                            </m:r>
                          </m:e>
                        </m:d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d>
                          <m:dPr>
                            <m:begChr m:val="["/>
                            <m:endChr m:val="]"/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𝐻𝐸𝐼𝐺𝐻𝑇</m:t>
                            </m:r>
                          </m:e>
                        </m:d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h𝑒𝑖𝑔h𝑡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𝑐𝑚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𝛽</m:t>
                        </m:r>
                      </m:e>
                      <m:sub>
                        <m:d>
                          <m:dPr>
                            <m:begChr m:val="["/>
                            <m:endChr m:val="]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𝐵𝑀𝐼</m:t>
                            </m:r>
                          </m:e>
                        </m:d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𝐵𝑀𝐼</m:t>
                        </m:r>
                      </m:sub>
                    </m:sSub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β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[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𝑅𝑒𝑙𝑒𝑣𝑎𝑛𝑡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𝑆𝑒𝑥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𝑇𝑒𝑟𝑚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]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12FD6B3-980F-4310-FA23-280C7F160C17}"/>
                </a:ext>
              </a:extLst>
            </xdr:cNvPr>
            <xdr:cNvSpPr txBox="1"/>
          </xdr:nvSpPr>
          <xdr:spPr>
            <a:xfrm>
              <a:off x="731520" y="2724150"/>
              <a:ext cx="8244840" cy="1979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𝜂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_𝑖=𝛽_[𝐼𝑛𝑡𝑒𝑟𝑐𝑒𝑝𝑡] +𝛽_[𝐿𝐷𝑉𝑀𝑃𝐻] ∗ln⁡(𝑥_(𝑑𝑒𝑙𝑡𝑎𝑉 𝑚𝑝ℎ) )+𝛽_[𝑅𝑒𝑙𝑒𝑣𝑎𝑛𝑡 𝐴𝑔𝑒 𝑇𝑒𝑟𝑚] +𝛽_[𝐻𝐸𝐼𝐺𝐻𝑇] ∗𝑥_(ℎ𝑒𝑖𝑔ℎ𝑡 𝑐𝑚)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+𝛽_[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𝐵𝑀𝐼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]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∗𝑥_𝐵𝑀𝐼+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β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_([𝑅𝑒𝑙𝑒𝑣𝑎𝑛𝑡 𝑆𝑒𝑥 𝑇𝑒𝑟𝑚])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76200</xdr:colOff>
      <xdr:row>16</xdr:row>
      <xdr:rowOff>114300</xdr:rowOff>
    </xdr:from>
    <xdr:ext cx="8054340" cy="358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76CDD3C-0128-4957-8263-A90A6F0B79F5}"/>
                </a:ext>
              </a:extLst>
            </xdr:cNvPr>
            <xdr:cNvSpPr txBox="1"/>
          </xdr:nvSpPr>
          <xdr:spPr>
            <a:xfrm>
              <a:off x="731520" y="3040380"/>
              <a:ext cx="8054340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𝐼𝑛𝑗𝑢𝑟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func>
                          <m:func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exp</m:t>
                            </m:r>
                          </m:fName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𝜂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</m:e>
                            </m:d>
                          </m:e>
                        </m:func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1+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exp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⁡(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𝜂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1+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exp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⁡(−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𝜂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76CDD3C-0128-4957-8263-A90A6F0B79F5}"/>
                </a:ext>
              </a:extLst>
            </xdr:cNvPr>
            <xdr:cNvSpPr txBox="1"/>
          </xdr:nvSpPr>
          <xdr:spPr>
            <a:xfrm>
              <a:off x="731520" y="3040380"/>
              <a:ext cx="8054340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𝑃(𝐼𝑛𝑗𝑢𝑟𝑦_𝑖 )=exp⁡(𝜂_𝑖 )/(1+exp⁡(𝜂_𝑖))=1/(1+exp⁡(−𝜂_𝑖))  </a:t>
              </a:r>
              <a:endParaRPr lang="en-US" sz="1100"/>
            </a:p>
          </xdr:txBody>
        </xdr:sp>
      </mc:Fallback>
    </mc:AlternateContent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growShrinkType="overwriteClear" connectionId="1" xr16:uid="{20C9718F-FB19-4337-8C53-EE93D8751CD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growShrinkType="overwriteClear" connectionId="3" xr16:uid="{79E4AB3B-0A2C-46D1-9F68-4A88FF7E4496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growShrinkType="overwriteClear" connectionId="2" xr16:uid="{E1584CA6-8B24-4E3B-AEC2-798B98BED97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F17C8-B2B9-4E39-9864-2160EB8D6893}">
  <sheetPr>
    <tabColor theme="4"/>
  </sheetPr>
  <dimension ref="A1:T37"/>
  <sheetViews>
    <sheetView topLeftCell="A11" workbookViewId="0">
      <selection activeCell="A9" sqref="A9"/>
    </sheetView>
  </sheetViews>
  <sheetFormatPr defaultRowHeight="14.4" x14ac:dyDescent="0.3"/>
  <cols>
    <col min="1" max="1" width="33.21875" bestFit="1" customWidth="1"/>
    <col min="2" max="2" width="12.77734375" bestFit="1" customWidth="1"/>
    <col min="3" max="4" width="7" bestFit="1" customWidth="1"/>
    <col min="6" max="6" width="33.21875" bestFit="1" customWidth="1"/>
    <col min="7" max="7" width="12.77734375" bestFit="1" customWidth="1"/>
    <col min="8" max="9" width="7" bestFit="1" customWidth="1"/>
    <col min="11" max="11" width="33.21875" bestFit="1" customWidth="1"/>
    <col min="12" max="12" width="12.77734375" bestFit="1" customWidth="1"/>
    <col min="13" max="14" width="7" bestFit="1" customWidth="1"/>
    <col min="16" max="16" width="33.21875" bestFit="1" customWidth="1"/>
    <col min="17" max="17" width="12.77734375" bestFit="1" customWidth="1"/>
    <col min="18" max="19" width="7" bestFit="1" customWidth="1"/>
  </cols>
  <sheetData>
    <row r="1" spans="1:20" x14ac:dyDescent="0.3">
      <c r="A1" s="33" t="s">
        <v>16</v>
      </c>
      <c r="B1" s="34"/>
      <c r="C1" s="34"/>
      <c r="D1" s="35"/>
      <c r="F1" s="33" t="s">
        <v>16</v>
      </c>
      <c r="G1" s="34"/>
      <c r="H1" s="34"/>
      <c r="I1" s="35"/>
      <c r="K1" s="33" t="s">
        <v>16</v>
      </c>
      <c r="L1" s="34"/>
      <c r="M1" s="34"/>
      <c r="N1" s="35"/>
      <c r="P1" s="33" t="s">
        <v>16</v>
      </c>
      <c r="Q1" s="34"/>
      <c r="R1" s="34"/>
      <c r="S1" s="35"/>
    </row>
    <row r="2" spans="1:20" x14ac:dyDescent="0.3">
      <c r="A2" s="36" t="s">
        <v>10</v>
      </c>
      <c r="B2" s="37"/>
      <c r="C2" s="37"/>
      <c r="D2" s="38"/>
      <c r="F2" s="36" t="s">
        <v>9</v>
      </c>
      <c r="G2" s="37"/>
      <c r="H2" s="37"/>
      <c r="I2" s="38"/>
      <c r="K2" s="36" t="s">
        <v>8</v>
      </c>
      <c r="L2" s="37"/>
      <c r="M2" s="37"/>
      <c r="N2" s="38"/>
      <c r="P2" s="36" t="s">
        <v>7</v>
      </c>
      <c r="Q2" s="37"/>
      <c r="R2" s="37"/>
      <c r="S2" s="38"/>
    </row>
    <row r="3" spans="1:20" x14ac:dyDescent="0.3">
      <c r="A3" s="13" t="s">
        <v>0</v>
      </c>
      <c r="B3" s="14" t="s">
        <v>21</v>
      </c>
      <c r="C3" s="39" t="s">
        <v>4</v>
      </c>
      <c r="D3" s="40"/>
      <c r="F3" s="13" t="s">
        <v>0</v>
      </c>
      <c r="G3" s="14" t="s">
        <v>21</v>
      </c>
      <c r="H3" s="39" t="s">
        <v>4</v>
      </c>
      <c r="I3" s="40"/>
      <c r="K3" s="13" t="s">
        <v>0</v>
      </c>
      <c r="L3" s="14" t="s">
        <v>21</v>
      </c>
      <c r="M3" s="39" t="s">
        <v>4</v>
      </c>
      <c r="N3" s="40"/>
      <c r="P3" s="13" t="s">
        <v>0</v>
      </c>
      <c r="Q3" s="14" t="s">
        <v>21</v>
      </c>
      <c r="R3" s="39" t="s">
        <v>4</v>
      </c>
      <c r="S3" s="40"/>
    </row>
    <row r="4" spans="1:20" x14ac:dyDescent="0.3">
      <c r="A4" s="1" t="s">
        <v>42</v>
      </c>
      <c r="B4" s="4">
        <v>11.12</v>
      </c>
      <c r="C4" s="5">
        <v>4.04</v>
      </c>
      <c r="D4" s="6">
        <v>30.611000000000001</v>
      </c>
      <c r="E4" t="s">
        <v>48</v>
      </c>
      <c r="F4" s="1" t="s">
        <v>42</v>
      </c>
      <c r="G4" s="4">
        <v>11.413</v>
      </c>
      <c r="H4" s="5">
        <v>3.5030000000000001</v>
      </c>
      <c r="I4" s="6">
        <v>37.189</v>
      </c>
      <c r="J4" t="s">
        <v>48</v>
      </c>
      <c r="K4" s="1" t="s">
        <v>42</v>
      </c>
      <c r="L4" s="4">
        <v>11.007999999999999</v>
      </c>
      <c r="M4" s="5">
        <v>2.84</v>
      </c>
      <c r="N4" s="6">
        <v>42.67</v>
      </c>
      <c r="O4" t="s">
        <v>48</v>
      </c>
      <c r="P4" s="1" t="s">
        <v>1</v>
      </c>
      <c r="Q4" s="4">
        <v>11.01</v>
      </c>
      <c r="R4" s="5">
        <v>1.444</v>
      </c>
      <c r="S4" s="6">
        <v>83.968000000000004</v>
      </c>
      <c r="T4" t="s">
        <v>47</v>
      </c>
    </row>
    <row r="5" spans="1:20" x14ac:dyDescent="0.3">
      <c r="A5" s="2" t="s">
        <v>19</v>
      </c>
      <c r="B5" s="7">
        <v>0.94399999999999995</v>
      </c>
      <c r="C5" s="8">
        <v>0.36</v>
      </c>
      <c r="D5" s="9">
        <v>2.4740000000000002</v>
      </c>
      <c r="E5" s="30"/>
      <c r="F5" s="2" t="s">
        <v>19</v>
      </c>
      <c r="G5" s="7">
        <v>1.5760000000000001</v>
      </c>
      <c r="H5" s="8">
        <v>0.52</v>
      </c>
      <c r="I5" s="9">
        <v>4.7759999999999998</v>
      </c>
      <c r="J5" s="30"/>
      <c r="K5" s="2" t="s">
        <v>19</v>
      </c>
      <c r="L5" s="7">
        <v>1.089</v>
      </c>
      <c r="M5" s="8">
        <v>0.69399999999999995</v>
      </c>
      <c r="N5" s="9">
        <v>1.7110000000000001</v>
      </c>
      <c r="O5" s="30"/>
      <c r="P5" s="2" t="s">
        <v>19</v>
      </c>
      <c r="Q5" s="7">
        <v>3.5209999999999999</v>
      </c>
      <c r="R5" s="8">
        <v>0.437</v>
      </c>
      <c r="S5" s="9">
        <v>28.385999999999999</v>
      </c>
      <c r="T5" s="31"/>
    </row>
    <row r="6" spans="1:20" x14ac:dyDescent="0.3">
      <c r="A6" s="2" t="s">
        <v>20</v>
      </c>
      <c r="B6" s="7">
        <v>1.39</v>
      </c>
      <c r="C6" s="8">
        <v>0.48299999999999998</v>
      </c>
      <c r="D6" s="9">
        <v>4.0039999999999996</v>
      </c>
      <c r="E6" s="30"/>
      <c r="F6" s="2" t="s">
        <v>20</v>
      </c>
      <c r="G6" s="7">
        <v>0.90900000000000003</v>
      </c>
      <c r="H6" s="8">
        <v>0.20699999999999999</v>
      </c>
      <c r="I6" s="9">
        <v>3.9860000000000002</v>
      </c>
      <c r="J6" s="30"/>
      <c r="K6" s="2" t="s">
        <v>20</v>
      </c>
      <c r="L6" s="7">
        <v>0.67800000000000005</v>
      </c>
      <c r="M6" s="8">
        <v>8.3000000000000004E-2</v>
      </c>
      <c r="N6" s="9">
        <v>5.5419999999999998</v>
      </c>
      <c r="O6" s="30"/>
      <c r="P6" s="2" t="s">
        <v>20</v>
      </c>
      <c r="Q6" s="7">
        <v>2.6240000000000001</v>
      </c>
      <c r="R6" s="8">
        <v>0.27700000000000002</v>
      </c>
      <c r="S6" s="9">
        <v>24.869</v>
      </c>
      <c r="T6" s="31"/>
    </row>
    <row r="7" spans="1:20" x14ac:dyDescent="0.3">
      <c r="A7" s="2" t="s">
        <v>18</v>
      </c>
      <c r="B7" s="7">
        <v>1.0309999999999999</v>
      </c>
      <c r="C7" s="8">
        <v>0.98499999999999999</v>
      </c>
      <c r="D7" s="9">
        <v>1.0780000000000001</v>
      </c>
      <c r="F7" s="2" t="s">
        <v>18</v>
      </c>
      <c r="G7" s="7">
        <v>1.012</v>
      </c>
      <c r="H7" s="8">
        <v>0.92700000000000005</v>
      </c>
      <c r="I7" s="9">
        <v>1.105</v>
      </c>
      <c r="K7" s="2" t="s">
        <v>18</v>
      </c>
      <c r="L7" s="7">
        <v>0.98699999999999999</v>
      </c>
      <c r="M7" s="8">
        <v>0.90600000000000003</v>
      </c>
      <c r="N7" s="9">
        <v>1.0740000000000001</v>
      </c>
      <c r="P7" s="2" t="s">
        <v>18</v>
      </c>
      <c r="Q7" s="7">
        <v>1.071</v>
      </c>
      <c r="R7" s="8">
        <v>1.0369999999999999</v>
      </c>
      <c r="S7" s="9">
        <v>1.105</v>
      </c>
      <c r="T7" t="s">
        <v>48</v>
      </c>
    </row>
    <row r="8" spans="1:20" x14ac:dyDescent="0.3">
      <c r="A8" s="2" t="s">
        <v>17</v>
      </c>
      <c r="B8" s="7">
        <v>1.0169999999999999</v>
      </c>
      <c r="C8" s="8">
        <v>0.94299999999999995</v>
      </c>
      <c r="D8" s="9">
        <v>1.0980000000000001</v>
      </c>
      <c r="F8" s="2" t="s">
        <v>17</v>
      </c>
      <c r="G8" s="7">
        <v>1.05</v>
      </c>
      <c r="H8" s="8">
        <v>1.0009999999999999</v>
      </c>
      <c r="I8" s="9">
        <v>1.1020000000000001</v>
      </c>
      <c r="J8" t="s">
        <v>47</v>
      </c>
      <c r="K8" s="2" t="s">
        <v>17</v>
      </c>
      <c r="L8" s="7">
        <v>1.0609999999999999</v>
      </c>
      <c r="M8" s="8">
        <v>1.0249999999999999</v>
      </c>
      <c r="N8" s="9">
        <v>1.0980000000000001</v>
      </c>
      <c r="O8" t="s">
        <v>48</v>
      </c>
      <c r="P8" s="2" t="s">
        <v>17</v>
      </c>
      <c r="Q8" s="7">
        <v>1.0009999999999999</v>
      </c>
      <c r="R8" s="8">
        <v>0.88500000000000001</v>
      </c>
      <c r="S8" s="9">
        <v>1.1319999999999999</v>
      </c>
    </row>
    <row r="9" spans="1:20" x14ac:dyDescent="0.3">
      <c r="A9" s="3" t="s">
        <v>2</v>
      </c>
      <c r="B9" s="10">
        <v>0.74199999999999999</v>
      </c>
      <c r="C9" s="11">
        <v>0.28699999999999998</v>
      </c>
      <c r="D9" s="12">
        <v>1.9139999999999999</v>
      </c>
      <c r="F9" s="2" t="s">
        <v>2</v>
      </c>
      <c r="G9" s="7">
        <v>0.38</v>
      </c>
      <c r="H9" s="8">
        <v>0.12</v>
      </c>
      <c r="I9" s="9">
        <v>1.2030000000000001</v>
      </c>
      <c r="K9" s="3" t="s">
        <v>2</v>
      </c>
      <c r="L9" s="10">
        <v>0.28699999999999998</v>
      </c>
      <c r="M9" s="11">
        <v>0.11799999999999999</v>
      </c>
      <c r="N9" s="12">
        <v>0.69899999999999995</v>
      </c>
      <c r="O9" t="s">
        <v>48</v>
      </c>
      <c r="P9" s="3" t="s">
        <v>2</v>
      </c>
      <c r="Q9" s="10">
        <v>0.77500000000000002</v>
      </c>
      <c r="R9" s="11">
        <v>9.8000000000000004E-2</v>
      </c>
      <c r="S9" s="12">
        <v>6.1429999999999998</v>
      </c>
    </row>
    <row r="10" spans="1:20" x14ac:dyDescent="0.3">
      <c r="A10" s="8"/>
      <c r="B10" s="8"/>
      <c r="C10" s="8"/>
      <c r="D10" s="8"/>
      <c r="F10" s="3" t="s">
        <v>22</v>
      </c>
      <c r="G10" s="10">
        <v>0.63300000000000001</v>
      </c>
      <c r="H10" s="11">
        <v>0.14899999999999999</v>
      </c>
      <c r="I10" s="12">
        <v>2.6840000000000002</v>
      </c>
    </row>
    <row r="12" spans="1:20" x14ac:dyDescent="0.3">
      <c r="A12" s="33" t="s">
        <v>15</v>
      </c>
      <c r="B12" s="34"/>
      <c r="C12" s="34"/>
      <c r="D12" s="35"/>
      <c r="F12" s="33" t="s">
        <v>15</v>
      </c>
      <c r="G12" s="34"/>
      <c r="H12" s="34"/>
      <c r="I12" s="35"/>
      <c r="K12" s="33" t="s">
        <v>15</v>
      </c>
      <c r="L12" s="34"/>
      <c r="M12" s="34"/>
      <c r="N12" s="35"/>
      <c r="P12" s="33" t="s">
        <v>15</v>
      </c>
      <c r="Q12" s="34"/>
      <c r="R12" s="34"/>
      <c r="S12" s="35"/>
    </row>
    <row r="13" spans="1:20" x14ac:dyDescent="0.3">
      <c r="A13" s="36" t="s">
        <v>10</v>
      </c>
      <c r="B13" s="37"/>
      <c r="C13" s="37"/>
      <c r="D13" s="38"/>
      <c r="F13" s="36" t="s">
        <v>9</v>
      </c>
      <c r="G13" s="37"/>
      <c r="H13" s="37"/>
      <c r="I13" s="38"/>
      <c r="K13" s="36" t="s">
        <v>8</v>
      </c>
      <c r="L13" s="37"/>
      <c r="M13" s="37"/>
      <c r="N13" s="38"/>
      <c r="P13" s="36" t="s">
        <v>7</v>
      </c>
      <c r="Q13" s="37"/>
      <c r="R13" s="37"/>
      <c r="S13" s="38"/>
    </row>
    <row r="14" spans="1:20" x14ac:dyDescent="0.3">
      <c r="A14" s="13" t="s">
        <v>0</v>
      </c>
      <c r="B14" s="14" t="s">
        <v>21</v>
      </c>
      <c r="C14" s="39" t="s">
        <v>4</v>
      </c>
      <c r="D14" s="40"/>
      <c r="F14" s="13" t="s">
        <v>0</v>
      </c>
      <c r="G14" s="14" t="s">
        <v>21</v>
      </c>
      <c r="H14" s="39" t="s">
        <v>4</v>
      </c>
      <c r="I14" s="40"/>
      <c r="K14" s="13" t="s">
        <v>0</v>
      </c>
      <c r="L14" s="14" t="s">
        <v>21</v>
      </c>
      <c r="M14" s="39" t="s">
        <v>4</v>
      </c>
      <c r="N14" s="40"/>
      <c r="P14" s="13" t="s">
        <v>0</v>
      </c>
      <c r="Q14" s="14" t="s">
        <v>21</v>
      </c>
      <c r="R14" s="39" t="s">
        <v>4</v>
      </c>
      <c r="S14" s="40"/>
    </row>
    <row r="15" spans="1:20" x14ac:dyDescent="0.3">
      <c r="A15" s="1" t="s">
        <v>42</v>
      </c>
      <c r="B15" s="4">
        <v>9.4139999999999997</v>
      </c>
      <c r="C15" s="5">
        <v>4.4790000000000001</v>
      </c>
      <c r="D15" s="6">
        <v>19.788</v>
      </c>
      <c r="E15" t="s">
        <v>48</v>
      </c>
      <c r="F15" s="1" t="s">
        <v>42</v>
      </c>
      <c r="G15" s="4">
        <v>17.600000000000001</v>
      </c>
      <c r="H15" s="5">
        <v>5.7640000000000002</v>
      </c>
      <c r="I15" s="6">
        <v>53.738999999999997</v>
      </c>
      <c r="J15" t="s">
        <v>48</v>
      </c>
      <c r="K15" s="1" t="s">
        <v>42</v>
      </c>
      <c r="L15" s="4">
        <v>12.067</v>
      </c>
      <c r="M15" s="5">
        <v>2.137</v>
      </c>
      <c r="N15" s="6">
        <v>68.150000000000006</v>
      </c>
      <c r="O15" t="s">
        <v>48</v>
      </c>
      <c r="P15" s="1" t="s">
        <v>1</v>
      </c>
      <c r="Q15" s="4">
        <v>33.441000000000003</v>
      </c>
      <c r="R15" s="5">
        <v>6.1159999999999997</v>
      </c>
      <c r="S15" s="6">
        <v>182.851</v>
      </c>
      <c r="T15" t="s">
        <v>48</v>
      </c>
    </row>
    <row r="16" spans="1:20" x14ac:dyDescent="0.3">
      <c r="A16" s="2" t="s">
        <v>19</v>
      </c>
      <c r="B16" s="7">
        <v>4.9249999999999998</v>
      </c>
      <c r="C16" s="8">
        <v>2.673</v>
      </c>
      <c r="D16" s="9">
        <v>9.0760000000000005</v>
      </c>
      <c r="E16" s="29" t="s">
        <v>48</v>
      </c>
      <c r="F16" s="2" t="s">
        <v>19</v>
      </c>
      <c r="G16" s="7">
        <v>3.577</v>
      </c>
      <c r="H16" s="8">
        <v>1.62</v>
      </c>
      <c r="I16" s="9">
        <v>7.9</v>
      </c>
      <c r="J16" s="29" t="s">
        <v>48</v>
      </c>
      <c r="K16" s="2" t="s">
        <v>19</v>
      </c>
      <c r="L16" s="7">
        <v>3.5219999999999998</v>
      </c>
      <c r="M16" s="8">
        <v>1.1240000000000001</v>
      </c>
      <c r="N16" s="9">
        <v>11.034000000000001</v>
      </c>
      <c r="O16" s="30"/>
      <c r="P16" s="2" t="s">
        <v>19</v>
      </c>
      <c r="Q16" s="7">
        <v>4.0549999999999997</v>
      </c>
      <c r="R16" s="8">
        <v>1.9850000000000001</v>
      </c>
      <c r="S16" s="9">
        <v>8.2810000000000006</v>
      </c>
      <c r="T16" s="32" t="s">
        <v>48</v>
      </c>
    </row>
    <row r="17" spans="1:20" x14ac:dyDescent="0.3">
      <c r="A17" s="2" t="s">
        <v>20</v>
      </c>
      <c r="B17" s="7">
        <v>27.27</v>
      </c>
      <c r="C17" s="8">
        <v>7.6859999999999999</v>
      </c>
      <c r="D17" s="9">
        <v>96.757999999999996</v>
      </c>
      <c r="E17" s="29"/>
      <c r="F17" s="2" t="s">
        <v>20</v>
      </c>
      <c r="G17" s="7">
        <v>6.3</v>
      </c>
      <c r="H17" s="8">
        <v>2.4140000000000001</v>
      </c>
      <c r="I17" s="9">
        <v>16.440999999999999</v>
      </c>
      <c r="J17" s="29"/>
      <c r="K17" s="2" t="s">
        <v>20</v>
      </c>
      <c r="L17" s="7">
        <v>1.5049999999999999</v>
      </c>
      <c r="M17" s="8">
        <v>0.53100000000000003</v>
      </c>
      <c r="N17" s="9">
        <v>4.266</v>
      </c>
      <c r="O17" s="30"/>
      <c r="P17" s="2" t="s">
        <v>20</v>
      </c>
      <c r="Q17" s="7">
        <v>18.128</v>
      </c>
      <c r="R17" s="8">
        <v>5.2750000000000004</v>
      </c>
      <c r="S17" s="9">
        <v>62.302999999999997</v>
      </c>
      <c r="T17" s="32"/>
    </row>
    <row r="18" spans="1:20" x14ac:dyDescent="0.3">
      <c r="A18" s="2" t="s">
        <v>18</v>
      </c>
      <c r="B18" s="7">
        <v>1.0129999999999999</v>
      </c>
      <c r="C18" s="8">
        <v>0.96599999999999997</v>
      </c>
      <c r="D18" s="9">
        <v>1.0620000000000001</v>
      </c>
      <c r="F18" s="2" t="s">
        <v>18</v>
      </c>
      <c r="G18" s="7">
        <v>1.02</v>
      </c>
      <c r="H18" s="8">
        <v>0.99199999999999999</v>
      </c>
      <c r="I18" s="9">
        <v>1.0489999999999999</v>
      </c>
      <c r="K18" s="2" t="s">
        <v>18</v>
      </c>
      <c r="L18" s="7">
        <v>1.0129999999999999</v>
      </c>
      <c r="M18" s="8">
        <v>0.95499999999999996</v>
      </c>
      <c r="N18" s="9">
        <v>1.0740000000000001</v>
      </c>
      <c r="P18" s="2" t="s">
        <v>18</v>
      </c>
      <c r="Q18" s="7">
        <v>1.0309999999999999</v>
      </c>
      <c r="R18" s="8">
        <v>0.999</v>
      </c>
      <c r="S18" s="9">
        <v>1.0640000000000001</v>
      </c>
    </row>
    <row r="19" spans="1:20" x14ac:dyDescent="0.3">
      <c r="A19" s="2" t="s">
        <v>17</v>
      </c>
      <c r="B19" s="7">
        <v>1.054</v>
      </c>
      <c r="C19" s="8">
        <v>1.018</v>
      </c>
      <c r="D19" s="9">
        <v>1.0920000000000001</v>
      </c>
      <c r="E19" t="s">
        <v>48</v>
      </c>
      <c r="F19" s="2" t="s">
        <v>17</v>
      </c>
      <c r="G19" s="7">
        <v>1.0009999999999999</v>
      </c>
      <c r="H19" s="8">
        <v>0.95699999999999996</v>
      </c>
      <c r="I19" s="9">
        <v>1.0469999999999999</v>
      </c>
      <c r="K19" s="2" t="s">
        <v>17</v>
      </c>
      <c r="L19" s="7">
        <v>0.99099999999999999</v>
      </c>
      <c r="M19" s="8">
        <v>0.92200000000000004</v>
      </c>
      <c r="N19" s="9">
        <v>1.0649999999999999</v>
      </c>
      <c r="P19" s="2" t="s">
        <v>17</v>
      </c>
      <c r="Q19" s="7">
        <v>1</v>
      </c>
      <c r="R19" s="8">
        <v>0.95799999999999996</v>
      </c>
      <c r="S19" s="9">
        <v>1.0429999999999999</v>
      </c>
    </row>
    <row r="20" spans="1:20" x14ac:dyDescent="0.3">
      <c r="A20" s="3" t="s">
        <v>2</v>
      </c>
      <c r="B20" s="10">
        <v>2.5489999999999999</v>
      </c>
      <c r="C20" s="11">
        <v>0.99299999999999999</v>
      </c>
      <c r="D20" s="12">
        <v>6.5449999999999999</v>
      </c>
      <c r="F20" s="2" t="s">
        <v>2</v>
      </c>
      <c r="G20" s="7">
        <v>0.92800000000000005</v>
      </c>
      <c r="H20" s="8">
        <v>0.35299999999999998</v>
      </c>
      <c r="I20" s="9">
        <v>2.4380000000000002</v>
      </c>
      <c r="K20" s="3" t="s">
        <v>2</v>
      </c>
      <c r="L20" s="10">
        <v>0.73499999999999999</v>
      </c>
      <c r="M20" s="11">
        <v>0.157</v>
      </c>
      <c r="N20" s="12">
        <v>3.4340000000000002</v>
      </c>
      <c r="P20" s="3" t="s">
        <v>2</v>
      </c>
      <c r="Q20" s="10">
        <v>1.4710000000000001</v>
      </c>
      <c r="R20" s="11">
        <v>0.5</v>
      </c>
      <c r="S20" s="12">
        <v>4.3289999999999997</v>
      </c>
    </row>
    <row r="21" spans="1:20" x14ac:dyDescent="0.3">
      <c r="A21" s="8"/>
      <c r="B21" s="8"/>
      <c r="C21" s="8"/>
      <c r="D21" s="8"/>
      <c r="F21" s="3" t="s">
        <v>22</v>
      </c>
      <c r="G21" s="10">
        <v>1.2450000000000001</v>
      </c>
      <c r="H21" s="11">
        <v>0.52900000000000003</v>
      </c>
      <c r="I21" s="12">
        <v>2.9340000000000002</v>
      </c>
    </row>
    <row r="23" spans="1:20" x14ac:dyDescent="0.3">
      <c r="A23" s="33" t="s">
        <v>14</v>
      </c>
      <c r="B23" s="34"/>
      <c r="C23" s="34"/>
      <c r="D23" s="35"/>
      <c r="F23" s="33" t="s">
        <v>14</v>
      </c>
      <c r="G23" s="34"/>
      <c r="H23" s="34"/>
      <c r="I23" s="35"/>
      <c r="K23" s="33" t="s">
        <v>14</v>
      </c>
      <c r="L23" s="34"/>
      <c r="M23" s="34"/>
      <c r="N23" s="35"/>
      <c r="P23" s="33" t="s">
        <v>14</v>
      </c>
      <c r="Q23" s="34"/>
      <c r="R23" s="34"/>
      <c r="S23" s="35"/>
    </row>
    <row r="24" spans="1:20" x14ac:dyDescent="0.3">
      <c r="A24" s="36" t="s">
        <v>10</v>
      </c>
      <c r="B24" s="37"/>
      <c r="C24" s="37"/>
      <c r="D24" s="38"/>
      <c r="F24" s="36" t="s">
        <v>9</v>
      </c>
      <c r="G24" s="37"/>
      <c r="H24" s="37"/>
      <c r="I24" s="38"/>
      <c r="K24" s="36" t="s">
        <v>8</v>
      </c>
      <c r="L24" s="37"/>
      <c r="M24" s="37"/>
      <c r="N24" s="38"/>
      <c r="P24" s="36" t="s">
        <v>7</v>
      </c>
      <c r="Q24" s="37"/>
      <c r="R24" s="37"/>
      <c r="S24" s="38"/>
    </row>
    <row r="25" spans="1:20" x14ac:dyDescent="0.3">
      <c r="A25" s="13" t="s">
        <v>0</v>
      </c>
      <c r="B25" s="14" t="s">
        <v>21</v>
      </c>
      <c r="C25" s="39" t="s">
        <v>4</v>
      </c>
      <c r="D25" s="40"/>
      <c r="F25" s="13" t="s">
        <v>0</v>
      </c>
      <c r="G25" s="14" t="s">
        <v>21</v>
      </c>
      <c r="H25" s="39" t="s">
        <v>4</v>
      </c>
      <c r="I25" s="40"/>
      <c r="K25" s="13" t="s">
        <v>0</v>
      </c>
      <c r="L25" s="14" t="s">
        <v>21</v>
      </c>
      <c r="M25" s="39" t="s">
        <v>4</v>
      </c>
      <c r="N25" s="40"/>
      <c r="P25" s="13" t="s">
        <v>0</v>
      </c>
      <c r="Q25" s="14" t="s">
        <v>21</v>
      </c>
      <c r="R25" s="39" t="s">
        <v>4</v>
      </c>
      <c r="S25" s="40"/>
    </row>
    <row r="26" spans="1:20" x14ac:dyDescent="0.3">
      <c r="A26" s="1" t="s">
        <v>42</v>
      </c>
      <c r="B26" s="4">
        <v>24.939</v>
      </c>
      <c r="C26" s="5">
        <v>11.15</v>
      </c>
      <c r="D26" s="6">
        <v>55.783000000000001</v>
      </c>
      <c r="E26" t="s">
        <v>48</v>
      </c>
      <c r="F26" s="1" t="s">
        <v>42</v>
      </c>
      <c r="G26" s="4">
        <v>18.635999999999999</v>
      </c>
      <c r="H26" s="5">
        <v>8.4030000000000005</v>
      </c>
      <c r="I26" s="6">
        <v>41.331000000000003</v>
      </c>
      <c r="J26" t="s">
        <v>48</v>
      </c>
      <c r="K26" s="1" t="s">
        <v>42</v>
      </c>
      <c r="L26" s="4">
        <v>12.736000000000001</v>
      </c>
      <c r="M26" s="5">
        <v>4.6210000000000004</v>
      </c>
      <c r="N26" s="6">
        <v>35.097999999999999</v>
      </c>
      <c r="O26" t="s">
        <v>48</v>
      </c>
      <c r="P26" s="1" t="s">
        <v>1</v>
      </c>
      <c r="Q26" s="4">
        <v>32.829000000000001</v>
      </c>
      <c r="R26" s="5">
        <v>11.503</v>
      </c>
      <c r="S26" s="6">
        <v>93.688999999999993</v>
      </c>
      <c r="T26" t="s">
        <v>48</v>
      </c>
    </row>
    <row r="27" spans="1:20" x14ac:dyDescent="0.3">
      <c r="A27" s="2" t="s">
        <v>19</v>
      </c>
      <c r="B27" s="7">
        <v>1.087</v>
      </c>
      <c r="C27" s="8">
        <v>0.32200000000000001</v>
      </c>
      <c r="D27" s="9">
        <v>3.6659999999999999</v>
      </c>
      <c r="E27" s="29"/>
      <c r="F27" s="2" t="s">
        <v>19</v>
      </c>
      <c r="G27" s="7">
        <v>2.0329999999999999</v>
      </c>
      <c r="H27" s="8">
        <v>1.024</v>
      </c>
      <c r="I27" s="9">
        <v>4.0339999999999998</v>
      </c>
      <c r="J27" s="29" t="s">
        <v>48</v>
      </c>
      <c r="K27" s="2" t="s">
        <v>19</v>
      </c>
      <c r="L27" s="7">
        <v>1.958</v>
      </c>
      <c r="M27" s="8">
        <v>1.0229999999999999</v>
      </c>
      <c r="N27" s="9">
        <v>3.7469999999999999</v>
      </c>
      <c r="O27" s="29" t="s">
        <v>47</v>
      </c>
      <c r="P27" s="2" t="s">
        <v>19</v>
      </c>
      <c r="Q27" s="7">
        <v>2.1190000000000002</v>
      </c>
      <c r="R27" s="8">
        <v>0.85</v>
      </c>
      <c r="S27" s="9">
        <v>5.2850000000000001</v>
      </c>
      <c r="T27" s="32" t="s">
        <v>47</v>
      </c>
    </row>
    <row r="28" spans="1:20" x14ac:dyDescent="0.3">
      <c r="A28" s="2" t="s">
        <v>20</v>
      </c>
      <c r="B28" s="7">
        <v>2.504</v>
      </c>
      <c r="C28" s="8">
        <v>0.997</v>
      </c>
      <c r="D28" s="9">
        <v>6.2869999999999999</v>
      </c>
      <c r="E28" s="29"/>
      <c r="F28" s="2" t="s">
        <v>20</v>
      </c>
      <c r="G28" s="7">
        <v>3.8239999999999998</v>
      </c>
      <c r="H28" s="8">
        <v>1.603</v>
      </c>
      <c r="I28" s="9">
        <v>9.1219999999999999</v>
      </c>
      <c r="J28" s="29"/>
      <c r="K28" s="2" t="s">
        <v>20</v>
      </c>
      <c r="L28" s="7">
        <v>2.0190000000000001</v>
      </c>
      <c r="M28" s="8">
        <v>0.58099999999999996</v>
      </c>
      <c r="N28" s="9">
        <v>7.0190000000000001</v>
      </c>
      <c r="O28" s="29"/>
      <c r="P28" s="2" t="s">
        <v>20</v>
      </c>
      <c r="Q28" s="7">
        <v>7.3760000000000003</v>
      </c>
      <c r="R28" s="8">
        <v>1.728</v>
      </c>
      <c r="S28" s="9">
        <v>31.481999999999999</v>
      </c>
      <c r="T28" s="32"/>
    </row>
    <row r="29" spans="1:20" x14ac:dyDescent="0.3">
      <c r="A29" s="2" t="s">
        <v>18</v>
      </c>
      <c r="B29" s="7">
        <v>0.98199999999999998</v>
      </c>
      <c r="C29" s="8">
        <v>0.94</v>
      </c>
      <c r="D29" s="9">
        <v>1.026</v>
      </c>
      <c r="F29" s="2" t="s">
        <v>18</v>
      </c>
      <c r="G29" s="7">
        <v>0.98</v>
      </c>
      <c r="H29" s="8">
        <v>0.93200000000000005</v>
      </c>
      <c r="I29" s="9">
        <v>1.0309999999999999</v>
      </c>
      <c r="K29" s="2" t="s">
        <v>18</v>
      </c>
      <c r="L29" s="7">
        <v>1</v>
      </c>
      <c r="M29" s="8">
        <v>0.94699999999999995</v>
      </c>
      <c r="N29" s="9">
        <v>1.0549999999999999</v>
      </c>
      <c r="P29" s="2" t="s">
        <v>18</v>
      </c>
      <c r="Q29" s="7">
        <v>0.95599999999999996</v>
      </c>
      <c r="R29" s="8">
        <v>0.89600000000000002</v>
      </c>
      <c r="S29" s="9">
        <v>1.02</v>
      </c>
    </row>
    <row r="30" spans="1:20" ht="13.2" customHeight="1" x14ac:dyDescent="0.3">
      <c r="A30" s="2" t="s">
        <v>17</v>
      </c>
      <c r="B30" s="7">
        <v>1.071</v>
      </c>
      <c r="C30" s="8">
        <v>1.022</v>
      </c>
      <c r="D30" s="9">
        <v>1.123</v>
      </c>
      <c r="E30" t="s">
        <v>48</v>
      </c>
      <c r="F30" s="2" t="s">
        <v>17</v>
      </c>
      <c r="G30" s="7">
        <v>1.034</v>
      </c>
      <c r="H30" s="8">
        <v>0.97699999999999998</v>
      </c>
      <c r="I30" s="9">
        <v>1.093</v>
      </c>
      <c r="K30" s="2" t="s">
        <v>17</v>
      </c>
      <c r="L30" s="7">
        <v>1.0429999999999999</v>
      </c>
      <c r="M30" s="8">
        <v>1</v>
      </c>
      <c r="N30" s="9">
        <v>1.089</v>
      </c>
      <c r="P30" s="2" t="s">
        <v>17</v>
      </c>
      <c r="Q30" s="7">
        <v>1.018</v>
      </c>
      <c r="R30" s="8">
        <v>0.92200000000000004</v>
      </c>
      <c r="S30" s="9">
        <v>1.123</v>
      </c>
    </row>
    <row r="31" spans="1:20" x14ac:dyDescent="0.3">
      <c r="A31" s="3" t="s">
        <v>2</v>
      </c>
      <c r="B31" s="10">
        <v>1.274</v>
      </c>
      <c r="C31" s="11">
        <v>0.33800000000000002</v>
      </c>
      <c r="D31" s="12">
        <v>4.8049999999999997</v>
      </c>
      <c r="F31" s="2" t="s">
        <v>2</v>
      </c>
      <c r="G31" s="7">
        <v>1.0569999999999999</v>
      </c>
      <c r="H31" s="8">
        <v>0.50800000000000001</v>
      </c>
      <c r="I31" s="9">
        <v>2.1970000000000001</v>
      </c>
      <c r="K31" s="3" t="s">
        <v>2</v>
      </c>
      <c r="L31" s="10">
        <v>1.403</v>
      </c>
      <c r="M31" s="11">
        <v>0.64300000000000002</v>
      </c>
      <c r="N31" s="12">
        <v>3.0609999999999999</v>
      </c>
      <c r="P31" s="3" t="s">
        <v>2</v>
      </c>
      <c r="Q31" s="10">
        <v>0.84899999999999998</v>
      </c>
      <c r="R31" s="11">
        <v>0.23899999999999999</v>
      </c>
      <c r="S31" s="12">
        <v>3.0150000000000001</v>
      </c>
    </row>
    <row r="32" spans="1:20" x14ac:dyDescent="0.3">
      <c r="F32" s="3" t="s">
        <v>22</v>
      </c>
      <c r="G32" s="10">
        <v>1.1890000000000001</v>
      </c>
      <c r="H32" s="11">
        <v>0.67</v>
      </c>
      <c r="I32" s="12">
        <v>2.1110000000000002</v>
      </c>
    </row>
    <row r="36" spans="1:1" x14ac:dyDescent="0.3">
      <c r="A36" s="27" t="s">
        <v>56</v>
      </c>
    </row>
    <row r="37" spans="1:1" x14ac:dyDescent="0.3">
      <c r="A37" s="27" t="s">
        <v>55</v>
      </c>
    </row>
  </sheetData>
  <mergeCells count="48">
    <mergeCell ref="C14:D14"/>
    <mergeCell ref="H14:I14"/>
    <mergeCell ref="A24:D24"/>
    <mergeCell ref="F24:I24"/>
    <mergeCell ref="A12:D12"/>
    <mergeCell ref="F12:I12"/>
    <mergeCell ref="K2:N2"/>
    <mergeCell ref="M3:N3"/>
    <mergeCell ref="K13:N13"/>
    <mergeCell ref="K12:N12"/>
    <mergeCell ref="F2:I2"/>
    <mergeCell ref="A2:D2"/>
    <mergeCell ref="C3:D3"/>
    <mergeCell ref="H3:I3"/>
    <mergeCell ref="A13:D13"/>
    <mergeCell ref="F13:I13"/>
    <mergeCell ref="P24:S24"/>
    <mergeCell ref="R25:S25"/>
    <mergeCell ref="A23:D23"/>
    <mergeCell ref="F23:I23"/>
    <mergeCell ref="K23:N23"/>
    <mergeCell ref="P23:S23"/>
    <mergeCell ref="C25:D25"/>
    <mergeCell ref="H25:I25"/>
    <mergeCell ref="T5:T6"/>
    <mergeCell ref="T16:T17"/>
    <mergeCell ref="T27:T28"/>
    <mergeCell ref="P12:S12"/>
    <mergeCell ref="A1:D1"/>
    <mergeCell ref="F1:I1"/>
    <mergeCell ref="K1:N1"/>
    <mergeCell ref="P1:S1"/>
    <mergeCell ref="J5:J6"/>
    <mergeCell ref="E5:E6"/>
    <mergeCell ref="K24:N24"/>
    <mergeCell ref="M25:N25"/>
    <mergeCell ref="P2:S2"/>
    <mergeCell ref="R3:S3"/>
    <mergeCell ref="P13:S13"/>
    <mergeCell ref="R14:S14"/>
    <mergeCell ref="E27:E28"/>
    <mergeCell ref="J27:J28"/>
    <mergeCell ref="O5:O6"/>
    <mergeCell ref="O16:O17"/>
    <mergeCell ref="O27:O28"/>
    <mergeCell ref="M14:N14"/>
    <mergeCell ref="J16:J17"/>
    <mergeCell ref="E16:E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6EF5B-A557-41B8-8C75-C41688D1F422}">
  <sheetPr>
    <tabColor theme="4"/>
  </sheetPr>
  <dimension ref="A1:E29"/>
  <sheetViews>
    <sheetView topLeftCell="A3" workbookViewId="0">
      <selection activeCell="A21" sqref="A21:E29"/>
    </sheetView>
  </sheetViews>
  <sheetFormatPr defaultRowHeight="14.4" x14ac:dyDescent="0.3"/>
  <cols>
    <col min="1" max="1" width="28.44140625" bestFit="1" customWidth="1"/>
    <col min="2" max="2" width="10" customWidth="1"/>
    <col min="3" max="3" width="17.21875" bestFit="1" customWidth="1"/>
    <col min="4" max="4" width="12" bestFit="1" customWidth="1"/>
    <col min="5" max="5" width="12.88671875" bestFit="1" customWidth="1"/>
  </cols>
  <sheetData>
    <row r="1" spans="1:5" x14ac:dyDescent="0.3">
      <c r="A1" s="33" t="s">
        <v>52</v>
      </c>
      <c r="B1" s="34"/>
      <c r="C1" s="34"/>
      <c r="D1" s="34"/>
      <c r="E1" s="35"/>
    </row>
    <row r="2" spans="1:5" x14ac:dyDescent="0.3">
      <c r="A2" s="13" t="s">
        <v>0</v>
      </c>
      <c r="B2" s="14" t="s">
        <v>3</v>
      </c>
      <c r="C2" s="15" t="s">
        <v>49</v>
      </c>
      <c r="D2" s="15" t="s">
        <v>50</v>
      </c>
      <c r="E2" s="16" t="s">
        <v>51</v>
      </c>
    </row>
    <row r="3" spans="1:5" x14ac:dyDescent="0.3">
      <c r="A3" s="1" t="s">
        <v>42</v>
      </c>
      <c r="B3" s="45">
        <f>'Odds Ratios'!B4</f>
        <v>11.12</v>
      </c>
      <c r="C3" s="46">
        <f>'Odds Ratios'!G4</f>
        <v>11.413</v>
      </c>
      <c r="D3" s="46">
        <f>'Odds Ratios'!L4</f>
        <v>11.007999999999999</v>
      </c>
      <c r="E3" s="47">
        <f>'Odds Ratios'!Q4</f>
        <v>11.01</v>
      </c>
    </row>
    <row r="4" spans="1:5" x14ac:dyDescent="0.3">
      <c r="A4" s="2" t="s">
        <v>19</v>
      </c>
      <c r="B4" s="7">
        <f>'Odds Ratios'!B5</f>
        <v>0.94399999999999995</v>
      </c>
      <c r="C4" s="8">
        <f>'Odds Ratios'!G5</f>
        <v>1.5760000000000001</v>
      </c>
      <c r="D4" s="8">
        <f>'Odds Ratios'!L5</f>
        <v>1.089</v>
      </c>
      <c r="E4" s="9">
        <f>'Odds Ratios'!Q5</f>
        <v>3.5209999999999999</v>
      </c>
    </row>
    <row r="5" spans="1:5" x14ac:dyDescent="0.3">
      <c r="A5" s="2" t="s">
        <v>20</v>
      </c>
      <c r="B5" s="7">
        <f>'Odds Ratios'!B6</f>
        <v>1.39</v>
      </c>
      <c r="C5" s="8">
        <f>'Odds Ratios'!G6</f>
        <v>0.90900000000000003</v>
      </c>
      <c r="D5" s="8">
        <f>'Odds Ratios'!L6</f>
        <v>0.67800000000000005</v>
      </c>
      <c r="E5" s="9">
        <f>'Odds Ratios'!Q6</f>
        <v>2.6240000000000001</v>
      </c>
    </row>
    <row r="6" spans="1:5" x14ac:dyDescent="0.3">
      <c r="A6" s="2" t="s">
        <v>18</v>
      </c>
      <c r="B6" s="7">
        <f>'Odds Ratios'!B7</f>
        <v>1.0309999999999999</v>
      </c>
      <c r="C6" s="8">
        <f>'Odds Ratios'!G7</f>
        <v>1.012</v>
      </c>
      <c r="D6" s="8">
        <f>'Odds Ratios'!L7</f>
        <v>0.98699999999999999</v>
      </c>
      <c r="E6" s="49">
        <f>'Odds Ratios'!Q7</f>
        <v>1.071</v>
      </c>
    </row>
    <row r="7" spans="1:5" x14ac:dyDescent="0.3">
      <c r="A7" s="2" t="s">
        <v>17</v>
      </c>
      <c r="B7" s="7">
        <f>'Odds Ratios'!B8</f>
        <v>1.0169999999999999</v>
      </c>
      <c r="C7" s="48">
        <f>'Odds Ratios'!G8</f>
        <v>1.05</v>
      </c>
      <c r="D7" s="48">
        <f>'Odds Ratios'!L8</f>
        <v>1.0609999999999999</v>
      </c>
      <c r="E7" s="9">
        <f>'Odds Ratios'!Q8</f>
        <v>1.0009999999999999</v>
      </c>
    </row>
    <row r="8" spans="1:5" x14ac:dyDescent="0.3">
      <c r="A8" s="2" t="s">
        <v>2</v>
      </c>
      <c r="B8" s="7">
        <f>'Odds Ratios'!B9</f>
        <v>0.74199999999999999</v>
      </c>
      <c r="C8" s="7">
        <f>'Odds Ratios'!G9</f>
        <v>0.38</v>
      </c>
      <c r="D8" s="48">
        <f>'Odds Ratios'!L9</f>
        <v>0.28699999999999998</v>
      </c>
      <c r="E8" s="9">
        <f>'Odds Ratios'!Q9</f>
        <v>0.77500000000000002</v>
      </c>
    </row>
    <row r="9" spans="1:5" x14ac:dyDescent="0.3">
      <c r="A9" s="3" t="s">
        <v>22</v>
      </c>
      <c r="B9" s="10"/>
      <c r="C9" s="11">
        <f>'Odds Ratios'!G10</f>
        <v>0.63300000000000001</v>
      </c>
      <c r="D9" s="11"/>
      <c r="E9" s="12"/>
    </row>
    <row r="11" spans="1:5" x14ac:dyDescent="0.3">
      <c r="A11" s="33" t="s">
        <v>53</v>
      </c>
      <c r="B11" s="34"/>
      <c r="C11" s="34"/>
      <c r="D11" s="34"/>
      <c r="E11" s="35"/>
    </row>
    <row r="12" spans="1:5" x14ac:dyDescent="0.3">
      <c r="A12" s="13" t="s">
        <v>0</v>
      </c>
      <c r="B12" s="14" t="s">
        <v>3</v>
      </c>
      <c r="C12" s="15" t="s">
        <v>49</v>
      </c>
      <c r="D12" s="15" t="s">
        <v>50</v>
      </c>
      <c r="E12" s="16" t="s">
        <v>51</v>
      </c>
    </row>
    <row r="13" spans="1:5" x14ac:dyDescent="0.3">
      <c r="A13" s="1" t="s">
        <v>42</v>
      </c>
      <c r="B13" s="45">
        <f>'Odds Ratios'!B15</f>
        <v>9.4139999999999997</v>
      </c>
      <c r="C13" s="46">
        <f>'Odds Ratios'!G15</f>
        <v>17.600000000000001</v>
      </c>
      <c r="D13" s="46">
        <f>'Odds Ratios'!L15</f>
        <v>12.067</v>
      </c>
      <c r="E13" s="47">
        <f>'Odds Ratios'!Q15</f>
        <v>33.441000000000003</v>
      </c>
    </row>
    <row r="14" spans="1:5" x14ac:dyDescent="0.3">
      <c r="A14" s="2" t="s">
        <v>19</v>
      </c>
      <c r="B14" s="50">
        <f>'Odds Ratios'!B16</f>
        <v>4.9249999999999998</v>
      </c>
      <c r="C14" s="48">
        <f>'Odds Ratios'!G16</f>
        <v>3.577</v>
      </c>
      <c r="D14" s="8">
        <f>'Odds Ratios'!L16</f>
        <v>3.5219999999999998</v>
      </c>
      <c r="E14" s="49">
        <f>'Odds Ratios'!Q16</f>
        <v>4.0549999999999997</v>
      </c>
    </row>
    <row r="15" spans="1:5" x14ac:dyDescent="0.3">
      <c r="A15" s="2" t="s">
        <v>20</v>
      </c>
      <c r="B15" s="50">
        <f>'Odds Ratios'!B17</f>
        <v>27.27</v>
      </c>
      <c r="C15" s="48">
        <f>'Odds Ratios'!G17</f>
        <v>6.3</v>
      </c>
      <c r="D15" s="8">
        <f>'Odds Ratios'!L17</f>
        <v>1.5049999999999999</v>
      </c>
      <c r="E15" s="49">
        <f>'Odds Ratios'!Q17</f>
        <v>18.128</v>
      </c>
    </row>
    <row r="16" spans="1:5" x14ac:dyDescent="0.3">
      <c r="A16" s="2" t="s">
        <v>18</v>
      </c>
      <c r="B16" s="7">
        <f>'Odds Ratios'!B18</f>
        <v>1.0129999999999999</v>
      </c>
      <c r="C16" s="8">
        <f>'Odds Ratios'!G18</f>
        <v>1.02</v>
      </c>
      <c r="D16" s="8">
        <f>'Odds Ratios'!L18</f>
        <v>1.0129999999999999</v>
      </c>
      <c r="E16" s="9">
        <f>'Odds Ratios'!Q18</f>
        <v>1.0309999999999999</v>
      </c>
    </row>
    <row r="17" spans="1:5" x14ac:dyDescent="0.3">
      <c r="A17" s="2" t="s">
        <v>17</v>
      </c>
      <c r="B17" s="50">
        <f>'Odds Ratios'!B19</f>
        <v>1.054</v>
      </c>
      <c r="C17" s="8">
        <f>'Odds Ratios'!G19</f>
        <v>1.0009999999999999</v>
      </c>
      <c r="D17" s="8">
        <f>'Odds Ratios'!L19</f>
        <v>0.99099999999999999</v>
      </c>
      <c r="E17" s="9">
        <f>'Odds Ratios'!Q19</f>
        <v>1</v>
      </c>
    </row>
    <row r="18" spans="1:5" x14ac:dyDescent="0.3">
      <c r="A18" s="2" t="s">
        <v>2</v>
      </c>
      <c r="B18" s="7">
        <f>'Odds Ratios'!B20</f>
        <v>2.5489999999999999</v>
      </c>
      <c r="C18" s="8">
        <f>'Odds Ratios'!G20</f>
        <v>0.92800000000000005</v>
      </c>
      <c r="D18" s="8">
        <f>'Odds Ratios'!L20</f>
        <v>0.73499999999999999</v>
      </c>
      <c r="E18" s="9">
        <f>'Odds Ratios'!Q20</f>
        <v>1.4710000000000001</v>
      </c>
    </row>
    <row r="19" spans="1:5" x14ac:dyDescent="0.3">
      <c r="A19" s="3" t="s">
        <v>22</v>
      </c>
      <c r="B19" s="10"/>
      <c r="C19" s="11">
        <f>'Odds Ratios'!G21</f>
        <v>1.2450000000000001</v>
      </c>
      <c r="D19" s="11"/>
      <c r="E19" s="12"/>
    </row>
    <row r="21" spans="1:5" x14ac:dyDescent="0.3">
      <c r="A21" s="33" t="s">
        <v>54</v>
      </c>
      <c r="B21" s="34"/>
      <c r="C21" s="34"/>
      <c r="D21" s="34"/>
      <c r="E21" s="35"/>
    </row>
    <row r="22" spans="1:5" x14ac:dyDescent="0.3">
      <c r="A22" s="13" t="s">
        <v>0</v>
      </c>
      <c r="B22" s="14" t="s">
        <v>3</v>
      </c>
      <c r="C22" s="15" t="s">
        <v>49</v>
      </c>
      <c r="D22" s="15" t="s">
        <v>50</v>
      </c>
      <c r="E22" s="16" t="s">
        <v>51</v>
      </c>
    </row>
    <row r="23" spans="1:5" x14ac:dyDescent="0.3">
      <c r="A23" s="1" t="s">
        <v>42</v>
      </c>
      <c r="B23" s="45">
        <f>'Odds Ratios'!B26</f>
        <v>24.939</v>
      </c>
      <c r="C23" s="46">
        <f>'Odds Ratios'!G26</f>
        <v>18.635999999999999</v>
      </c>
      <c r="D23" s="46">
        <f>'Odds Ratios'!L26</f>
        <v>12.736000000000001</v>
      </c>
      <c r="E23" s="47">
        <f>'Odds Ratios'!Q26</f>
        <v>32.829000000000001</v>
      </c>
    </row>
    <row r="24" spans="1:5" x14ac:dyDescent="0.3">
      <c r="A24" s="2" t="s">
        <v>19</v>
      </c>
      <c r="B24" s="7">
        <f>'Odds Ratios'!B27</f>
        <v>1.087</v>
      </c>
      <c r="C24" s="48">
        <f>'Odds Ratios'!G27</f>
        <v>2.0329999999999999</v>
      </c>
      <c r="D24" s="48">
        <f>'Odds Ratios'!L27</f>
        <v>1.958</v>
      </c>
      <c r="E24" s="49">
        <f>'Odds Ratios'!Q27</f>
        <v>2.1190000000000002</v>
      </c>
    </row>
    <row r="25" spans="1:5" x14ac:dyDescent="0.3">
      <c r="A25" s="2" t="s">
        <v>20</v>
      </c>
      <c r="B25" s="7">
        <f>'Odds Ratios'!B28</f>
        <v>2.504</v>
      </c>
      <c r="C25" s="48">
        <f>'Odds Ratios'!G28</f>
        <v>3.8239999999999998</v>
      </c>
      <c r="D25" s="48">
        <f>'Odds Ratios'!L28</f>
        <v>2.0190000000000001</v>
      </c>
      <c r="E25" s="49">
        <f>'Odds Ratios'!Q28</f>
        <v>7.3760000000000003</v>
      </c>
    </row>
    <row r="26" spans="1:5" x14ac:dyDescent="0.3">
      <c r="A26" s="2" t="s">
        <v>18</v>
      </c>
      <c r="B26" s="7">
        <f>'Odds Ratios'!B29</f>
        <v>0.98199999999999998</v>
      </c>
      <c r="C26" s="8">
        <f>'Odds Ratios'!G29</f>
        <v>0.98</v>
      </c>
      <c r="D26" s="8">
        <f>'Odds Ratios'!L29</f>
        <v>1</v>
      </c>
      <c r="E26" s="9">
        <f>'Odds Ratios'!Q29</f>
        <v>0.95599999999999996</v>
      </c>
    </row>
    <row r="27" spans="1:5" x14ac:dyDescent="0.3">
      <c r="A27" s="2" t="s">
        <v>17</v>
      </c>
      <c r="B27" s="50">
        <f>'Odds Ratios'!B30</f>
        <v>1.071</v>
      </c>
      <c r="C27" s="8">
        <f>'Odds Ratios'!G30</f>
        <v>1.034</v>
      </c>
      <c r="D27" s="8">
        <f>'Odds Ratios'!L30</f>
        <v>1.0429999999999999</v>
      </c>
      <c r="E27" s="9">
        <f>'Odds Ratios'!Q30</f>
        <v>1.018</v>
      </c>
    </row>
    <row r="28" spans="1:5" x14ac:dyDescent="0.3">
      <c r="A28" s="2" t="s">
        <v>2</v>
      </c>
      <c r="B28" s="7">
        <f>'Odds Ratios'!B31</f>
        <v>1.274</v>
      </c>
      <c r="C28" s="8">
        <f>'Odds Ratios'!G31</f>
        <v>1.0569999999999999</v>
      </c>
      <c r="D28" s="8">
        <f>'Odds Ratios'!L31</f>
        <v>1.403</v>
      </c>
      <c r="E28" s="9">
        <f>'Odds Ratios'!Q31</f>
        <v>0.84899999999999998</v>
      </c>
    </row>
    <row r="29" spans="1:5" x14ac:dyDescent="0.3">
      <c r="A29" s="3" t="s">
        <v>22</v>
      </c>
      <c r="B29" s="10"/>
      <c r="C29" s="11">
        <f>'Odds Ratios'!G32</f>
        <v>1.1890000000000001</v>
      </c>
      <c r="D29" s="11"/>
      <c r="E29" s="12"/>
    </row>
  </sheetData>
  <mergeCells count="3">
    <mergeCell ref="A1:E1"/>
    <mergeCell ref="A11:E11"/>
    <mergeCell ref="A21:E21"/>
  </mergeCells>
  <conditionalFormatting sqref="B3:E9">
    <cfRule type="iconSet" priority="5">
      <iconSet iconSet="3Arrows">
        <cfvo type="percent" val="0"/>
        <cfvo type="num" val="0.998" gte="0"/>
        <cfvo type="num" val="1.0009999999999999" gte="0"/>
      </iconSet>
    </cfRule>
  </conditionalFormatting>
  <conditionalFormatting sqref="B13:E19">
    <cfRule type="iconSet" priority="2">
      <iconSet iconSet="3Arrows">
        <cfvo type="percent" val="0"/>
        <cfvo type="num" val="0.998" gte="0"/>
        <cfvo type="num" val="1.0009999999999999" gte="0"/>
      </iconSet>
    </cfRule>
  </conditionalFormatting>
  <conditionalFormatting sqref="B23:E29">
    <cfRule type="iconSet" priority="1">
      <iconSet iconSet="3Arrows">
        <cfvo type="percent" val="0"/>
        <cfvo type="num" val="0.998" gte="0"/>
        <cfvo type="num" val="1.0009999999999999" gte="0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866D-BD55-4970-BAD9-C6A47457F327}">
  <sheetPr>
    <tabColor theme="9"/>
  </sheetPr>
  <dimension ref="A1:H30"/>
  <sheetViews>
    <sheetView workbookViewId="0">
      <selection activeCell="B1" sqref="B1"/>
    </sheetView>
  </sheetViews>
  <sheetFormatPr defaultRowHeight="14.4" x14ac:dyDescent="0.3"/>
  <cols>
    <col min="1" max="1" width="12.21875" bestFit="1" customWidth="1"/>
    <col min="2" max="2" width="16" bestFit="1" customWidth="1"/>
    <col min="3" max="3" width="9.109375" bestFit="1" customWidth="1"/>
    <col min="4" max="4" width="12.109375" bestFit="1" customWidth="1"/>
    <col min="6" max="8" width="14.77734375" customWidth="1"/>
  </cols>
  <sheetData>
    <row r="1" spans="1:8" x14ac:dyDescent="0.3">
      <c r="A1" s="13" t="s">
        <v>32</v>
      </c>
      <c r="B1" s="13" t="s">
        <v>31</v>
      </c>
      <c r="F1" s="42" t="s">
        <v>41</v>
      </c>
      <c r="G1" s="43"/>
      <c r="H1" s="44"/>
    </row>
    <row r="2" spans="1:8" x14ac:dyDescent="0.3">
      <c r="A2" s="13" t="s">
        <v>33</v>
      </c>
      <c r="B2" s="13" t="s">
        <v>3</v>
      </c>
      <c r="E2" s="13" t="s">
        <v>25</v>
      </c>
      <c r="F2" s="10" t="s">
        <v>38</v>
      </c>
      <c r="G2" s="11" t="s">
        <v>39</v>
      </c>
      <c r="H2" s="12" t="s">
        <v>40</v>
      </c>
    </row>
    <row r="3" spans="1:8" x14ac:dyDescent="0.3">
      <c r="E3" s="1">
        <v>18</v>
      </c>
      <c r="F3" s="18">
        <f t="shared" ref="F3:H30" ca="1" si="0">1/(1+EXP(-1*(VLOOKUP("Intercept",INDIRECT($B$1&amp;"Coef"),1+MATCH($B$2,ModelTypes,0),FALSE) + VLOOKUP("LDVMPH",INDIRECT($B$1&amp;"Coef"),1+MATCH($B$2,ModelTypes,0),FALSE)*LN($B$5) + VLOOKUP(F$2,INDIRECT($B$1&amp;"Coef"),1+MATCH($B$2,ModelTypes,0),FALSE) + VLOOKUP("Height",INDIRECT($B$1&amp;"Coef"),1+MATCH($B$2,ModelTypes,0),FALSE)*$B$6 + VLOOKUP("BMI",INDIRECT($B$1&amp;"Coef"),1+MATCH($B$2,ModelTypes,0),FALSE)*$E3 + VLOOKUP("Sex "&amp;$B$7,INDIRECT($B$1&amp;"Coef"),1+MATCH($B$2,ModelTypes,0),FALSE))))</f>
        <v>0.25576867299884271</v>
      </c>
      <c r="G3" s="19">
        <f t="shared" ca="1" si="0"/>
        <v>0.27198425541452925</v>
      </c>
      <c r="H3" s="20">
        <f t="shared" ca="1" si="0"/>
        <v>0.46252578126680521</v>
      </c>
    </row>
    <row r="4" spans="1:8" x14ac:dyDescent="0.3">
      <c r="A4" s="41" t="s">
        <v>34</v>
      </c>
      <c r="B4" s="40"/>
      <c r="E4" s="2">
        <v>19</v>
      </c>
      <c r="F4" s="21">
        <f t="shared" ca="1" si="0"/>
        <v>0.26910296970654601</v>
      </c>
      <c r="G4" s="22">
        <f t="shared" ca="1" si="0"/>
        <v>0.28583924840034269</v>
      </c>
      <c r="H4" s="23">
        <f t="shared" ca="1" si="0"/>
        <v>0.47969155513966183</v>
      </c>
    </row>
    <row r="5" spans="1:8" x14ac:dyDescent="0.3">
      <c r="A5" s="1" t="s">
        <v>36</v>
      </c>
      <c r="B5" s="1">
        <v>35</v>
      </c>
      <c r="E5" s="2">
        <v>20</v>
      </c>
      <c r="F5" s="21">
        <f t="shared" ca="1" si="0"/>
        <v>0.28286821731988487</v>
      </c>
      <c r="G5" s="22">
        <f t="shared" ca="1" si="0"/>
        <v>0.30010907805378922</v>
      </c>
      <c r="H5" s="23">
        <f t="shared" ca="1" si="0"/>
        <v>0.49690541575806108</v>
      </c>
    </row>
    <row r="6" spans="1:8" x14ac:dyDescent="0.3">
      <c r="A6" s="2" t="s">
        <v>37</v>
      </c>
      <c r="B6" s="2">
        <v>150</v>
      </c>
      <c r="E6" s="2">
        <v>21</v>
      </c>
      <c r="F6" s="21">
        <f t="shared" ca="1" si="0"/>
        <v>0.29705141902062365</v>
      </c>
      <c r="G6" s="22">
        <f t="shared" ca="1" si="0"/>
        <v>0.31477729896934992</v>
      </c>
      <c r="H6" s="23">
        <f t="shared" ca="1" si="0"/>
        <v>0.51412661560855355</v>
      </c>
    </row>
    <row r="7" spans="1:8" x14ac:dyDescent="0.3">
      <c r="A7" s="3" t="s">
        <v>45</v>
      </c>
      <c r="B7" s="3" t="s">
        <v>26</v>
      </c>
      <c r="E7" s="2">
        <v>22</v>
      </c>
      <c r="F7" s="21">
        <f t="shared" ca="1" si="0"/>
        <v>0.31163673638196115</v>
      </c>
      <c r="G7" s="22">
        <f t="shared" ca="1" si="0"/>
        <v>0.32982459472559805</v>
      </c>
      <c r="H7" s="23">
        <f t="shared" ca="1" si="0"/>
        <v>0.53131433767866731</v>
      </c>
    </row>
    <row r="8" spans="1:8" x14ac:dyDescent="0.3">
      <c r="E8" s="2">
        <v>23</v>
      </c>
      <c r="F8" s="21">
        <f t="shared" ca="1" si="0"/>
        <v>0.32660546120225598</v>
      </c>
      <c r="G8" s="22">
        <f t="shared" ca="1" si="0"/>
        <v>0.34522879570146847</v>
      </c>
      <c r="H8" s="23">
        <f t="shared" ca="1" si="0"/>
        <v>0.54842808161447909</v>
      </c>
    </row>
    <row r="9" spans="1:8" x14ac:dyDescent="0.3">
      <c r="E9" s="2">
        <v>24</v>
      </c>
      <c r="F9" s="21">
        <f t="shared" ca="1" si="0"/>
        <v>0.34193602496771547</v>
      </c>
      <c r="G9" s="22">
        <f t="shared" ca="1" si="0"/>
        <v>0.36096493776796656</v>
      </c>
      <c r="H9" s="23">
        <f t="shared" ca="1" si="0"/>
        <v>0.56542804353326404</v>
      </c>
    </row>
    <row r="10" spans="1:8" x14ac:dyDescent="0.3">
      <c r="E10" s="2">
        <v>25</v>
      </c>
      <c r="F10" s="21">
        <f t="shared" ca="1" si="0"/>
        <v>0.35760404870561441</v>
      </c>
      <c r="G10" s="22">
        <f t="shared" ca="1" si="0"/>
        <v>0.37700536360296949</v>
      </c>
      <c r="H10" s="23">
        <f t="shared" ca="1" si="0"/>
        <v>0.58227548196892343</v>
      </c>
    </row>
    <row r="11" spans="1:8" x14ac:dyDescent="0.3">
      <c r="E11" s="2">
        <v>26</v>
      </c>
      <c r="F11" s="21">
        <f t="shared" ca="1" si="0"/>
        <v>0.37358243516871326</v>
      </c>
      <c r="G11" s="22">
        <f t="shared" ca="1" si="0"/>
        <v>0.39331986738628466</v>
      </c>
      <c r="H11" s="23">
        <f t="shared" ca="1" si="0"/>
        <v>0.59893306289903792</v>
      </c>
    </row>
    <row r="12" spans="1:8" x14ac:dyDescent="0.3">
      <c r="E12" s="2">
        <v>27</v>
      </c>
      <c r="F12" s="21">
        <f t="shared" ca="1" si="0"/>
        <v>0.38984150432811893</v>
      </c>
      <c r="G12" s="22">
        <f t="shared" ca="1" si="0"/>
        <v>0.40987588253290835</v>
      </c>
      <c r="H12" s="23">
        <f t="shared" ca="1" si="0"/>
        <v>0.61536517750311359</v>
      </c>
    </row>
    <row r="13" spans="1:8" x14ac:dyDescent="0.3">
      <c r="E13" s="2">
        <v>28</v>
      </c>
      <c r="F13" s="21">
        <f t="shared" ca="1" si="0"/>
        <v>0.40634917207278748</v>
      </c>
      <c r="G13" s="22">
        <f t="shared" ca="1" si="0"/>
        <v>0.42663871095198985</v>
      </c>
      <c r="H13" s="23">
        <f t="shared" ca="1" si="0"/>
        <v>0.63153822719633212</v>
      </c>
    </row>
    <row r="14" spans="1:8" x14ac:dyDescent="0.3">
      <c r="E14" s="2">
        <v>29</v>
      </c>
      <c r="F14" s="21">
        <f t="shared" ca="1" si="0"/>
        <v>0.42307117085500567</v>
      </c>
      <c r="G14" s="22">
        <f t="shared" ca="1" si="0"/>
        <v>0.44357179112212869</v>
      </c>
      <c r="H14" s="23">
        <f t="shared" ca="1" si="0"/>
        <v>0.64742087152769712</v>
      </c>
    </row>
    <row r="15" spans="1:8" x14ac:dyDescent="0.3">
      <c r="E15" s="2">
        <v>30</v>
      </c>
      <c r="F15" s="21">
        <f t="shared" ca="1" si="0"/>
        <v>0.43997130982588112</v>
      </c>
      <c r="G15" s="22">
        <f t="shared" ca="1" si="0"/>
        <v>0.4606370011001189</v>
      </c>
      <c r="H15" s="23">
        <f t="shared" ca="1" si="0"/>
        <v>0.66298423567601994</v>
      </c>
    </row>
    <row r="16" spans="1:8" x14ac:dyDescent="0.3">
      <c r="E16" s="2">
        <v>31</v>
      </c>
      <c r="F16" s="21">
        <f t="shared" ca="1" si="0"/>
        <v>0.45701177082208444</v>
      </c>
      <c r="G16" s="22">
        <f t="shared" ca="1" si="0"/>
        <v>0.47779499148229854</v>
      </c>
      <c r="H16" s="23">
        <f t="shared" ca="1" si="0"/>
        <v>0.67820207546951405</v>
      </c>
    </row>
    <row r="17" spans="5:8" x14ac:dyDescent="0.3">
      <c r="E17" s="2">
        <v>32</v>
      </c>
      <c r="F17" s="21">
        <f t="shared" ca="1" si="0"/>
        <v>0.47415343544675881</v>
      </c>
      <c r="G17" s="22">
        <f t="shared" ca="1" si="0"/>
        <v>0.49500554236662736</v>
      </c>
      <c r="H17" s="23">
        <f t="shared" ca="1" si="0"/>
        <v>0.69305089904356143</v>
      </c>
    </row>
    <row r="18" spans="5:8" x14ac:dyDescent="0.3">
      <c r="E18" s="2">
        <v>33</v>
      </c>
      <c r="F18" s="21">
        <f t="shared" ca="1" si="0"/>
        <v>0.49135623748543905</v>
      </c>
      <c r="G18" s="22">
        <f t="shared" ca="1" si="0"/>
        <v>0.51222793756675511</v>
      </c>
      <c r="H18" s="23">
        <f t="shared" ca="1" si="0"/>
        <v>0.70751004538903872</v>
      </c>
    </row>
    <row r="19" spans="5:8" x14ac:dyDescent="0.3">
      <c r="E19" s="2">
        <v>34</v>
      </c>
      <c r="F19" s="21">
        <f t="shared" ca="1" si="0"/>
        <v>0.50857953406043233</v>
      </c>
      <c r="G19" s="22">
        <f t="shared" ca="1" si="0"/>
        <v>0.52942134874662228</v>
      </c>
      <c r="H19" s="23">
        <f t="shared" ca="1" si="0"/>
        <v>0.72156172108928951</v>
      </c>
    </row>
    <row r="20" spans="5:8" x14ac:dyDescent="0.3">
      <c r="E20" s="2">
        <v>35</v>
      </c>
      <c r="F20" s="21">
        <f t="shared" ca="1" si="0"/>
        <v>0.52578248829614782</v>
      </c>
      <c r="G20" s="22">
        <f t="shared" ca="1" si="0"/>
        <v>0.54654522180538501</v>
      </c>
      <c r="H20" s="23">
        <f t="shared" ca="1" si="0"/>
        <v>0.7351909974643438</v>
      </c>
    </row>
    <row r="21" spans="5:8" x14ac:dyDescent="0.3">
      <c r="E21" s="2">
        <v>36</v>
      </c>
      <c r="F21" s="21">
        <f t="shared" ca="1" si="0"/>
        <v>0.54292445587549476</v>
      </c>
      <c r="G21" s="22">
        <f t="shared" ca="1" si="0"/>
        <v>0.56355965776523864</v>
      </c>
      <c r="H21" s="23">
        <f t="shared" ca="1" si="0"/>
        <v>0.74838577111236226</v>
      </c>
    </row>
    <row r="22" spans="5:8" x14ac:dyDescent="0.3">
      <c r="E22" s="2">
        <v>37</v>
      </c>
      <c r="F22" s="21">
        <f t="shared" ca="1" si="0"/>
        <v>0.55996536773404759</v>
      </c>
      <c r="G22" s="22">
        <f t="shared" ca="1" si="0"/>
        <v>0.58042578060309424</v>
      </c>
      <c r="H22" s="23">
        <f t="shared" ca="1" si="0"/>
        <v>0.76113669144608909</v>
      </c>
    </row>
    <row r="23" spans="5:8" x14ac:dyDescent="0.3">
      <c r="E23" s="2">
        <v>38</v>
      </c>
      <c r="F23" s="21">
        <f t="shared" ca="1" si="0"/>
        <v>0.57686610127111115</v>
      </c>
      <c r="G23" s="22">
        <f t="shared" ca="1" si="0"/>
        <v>0.59710608491117223</v>
      </c>
      <c r="H23" s="23">
        <f t="shared" ca="1" si="0"/>
        <v>0.77343705926096984</v>
      </c>
    </row>
    <row r="24" spans="5:8" x14ac:dyDescent="0.3">
      <c r="E24" s="2">
        <v>39</v>
      </c>
      <c r="F24" s="21">
        <f t="shared" ca="1" si="0"/>
        <v>0.59358883284825081</v>
      </c>
      <c r="G24" s="22">
        <f t="shared" ca="1" si="0"/>
        <v>0.61356475694853985</v>
      </c>
      <c r="H24" s="23">
        <f t="shared" ca="1" si="0"/>
        <v>0.78528270064452965</v>
      </c>
    </row>
    <row r="25" spans="5:8" x14ac:dyDescent="0.3">
      <c r="E25" s="2">
        <v>40</v>
      </c>
      <c r="F25" s="21">
        <f t="shared" ca="1" si="0"/>
        <v>0.61009736497597544</v>
      </c>
      <c r="G25" s="22">
        <f t="shared" ca="1" si="0"/>
        <v>0.62976796352099318</v>
      </c>
      <c r="H25" s="23">
        <f t="shared" ca="1" si="0"/>
        <v>0.79667182065354158</v>
      </c>
    </row>
    <row r="26" spans="5:8" x14ac:dyDescent="0.3">
      <c r="E26" s="2">
        <v>41</v>
      </c>
      <c r="F26" s="21">
        <f t="shared" ca="1" si="0"/>
        <v>0.62635742242596237</v>
      </c>
      <c r="G26" s="22">
        <f t="shared" ca="1" si="0"/>
        <v>0.64568410415710886</v>
      </c>
      <c r="H26" s="23">
        <f t="shared" ca="1" si="0"/>
        <v>0.8076048411619241</v>
      </c>
    </row>
    <row r="27" spans="5:8" x14ac:dyDescent="0.3">
      <c r="E27" s="2">
        <v>42</v>
      </c>
      <c r="F27" s="21">
        <f t="shared" ca="1" si="0"/>
        <v>0.64233691250775149</v>
      </c>
      <c r="G27" s="22">
        <f t="shared" ca="1" si="0"/>
        <v>0.66128402318436696</v>
      </c>
      <c r="H27" s="23">
        <f t="shared" ca="1" si="0"/>
        <v>0.81808422713751605</v>
      </c>
    </row>
    <row r="28" spans="5:8" x14ac:dyDescent="0.3">
      <c r="E28" s="2">
        <v>43</v>
      </c>
      <c r="F28" s="21">
        <f t="shared" ca="1" si="0"/>
        <v>0.65800614586682915</v>
      </c>
      <c r="G28" s="22">
        <f t="shared" ca="1" si="0"/>
        <v>0.67654117949885562</v>
      </c>
      <c r="H28" s="23">
        <f t="shared" ca="1" si="0"/>
        <v>0.82811430536151753</v>
      </c>
    </row>
    <row r="29" spans="5:8" x14ac:dyDescent="0.3">
      <c r="E29" s="2">
        <v>44</v>
      </c>
      <c r="F29" s="21">
        <f t="shared" ca="1" si="0"/>
        <v>0.67333801534366511</v>
      </c>
      <c r="G29" s="22">
        <f t="shared" ca="1" si="0"/>
        <v>0.69143177301367931</v>
      </c>
      <c r="H29" s="23">
        <f t="shared" ca="1" si="0"/>
        <v>0.83770107928293813</v>
      </c>
    </row>
    <row r="30" spans="5:8" x14ac:dyDescent="0.3">
      <c r="E30" s="3">
        <v>45</v>
      </c>
      <c r="F30" s="24">
        <f t="shared" ca="1" si="0"/>
        <v>0.68830813162861959</v>
      </c>
      <c r="G30" s="25">
        <f t="shared" ca="1" si="0"/>
        <v>0.70593482791678841</v>
      </c>
      <c r="H30" s="26">
        <f t="shared" ca="1" si="0"/>
        <v>0.84685204332391228</v>
      </c>
    </row>
  </sheetData>
  <mergeCells count="2">
    <mergeCell ref="A4:B4"/>
    <mergeCell ref="F1:H1"/>
  </mergeCells>
  <dataValidations count="3">
    <dataValidation type="list" allowBlank="1" showInputMessage="1" showErrorMessage="1" sqref="B1" xr:uid="{784FDCDD-5952-4C76-A383-EE7E5C83FFC9}">
      <formula1>"Head,Chest,LowerExtremity"</formula1>
    </dataValidation>
    <dataValidation type="list" allowBlank="1" showInputMessage="1" showErrorMessage="1" sqref="B2" xr:uid="{1C217B88-6F7B-4F18-88FC-016C50A98171}">
      <formula1>ModelTypes</formula1>
    </dataValidation>
    <dataValidation type="list" allowBlank="1" showInputMessage="1" showErrorMessage="1" sqref="B7" xr:uid="{30AB0D0E-C897-4E98-9EE1-F64070B5ADF6}">
      <formula1>"M,F"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0ECF-6978-4C0F-9AE4-1BD0567F748F}">
  <sheetPr>
    <tabColor theme="9"/>
  </sheetPr>
  <dimension ref="A1:H83"/>
  <sheetViews>
    <sheetView tabSelected="1" workbookViewId="0">
      <selection activeCell="K20" sqref="K20"/>
    </sheetView>
  </sheetViews>
  <sheetFormatPr defaultRowHeight="14.4" x14ac:dyDescent="0.3"/>
  <cols>
    <col min="1" max="1" width="12.21875" bestFit="1" customWidth="1"/>
    <col min="2" max="2" width="16" bestFit="1" customWidth="1"/>
    <col min="3" max="3" width="9.109375" bestFit="1" customWidth="1"/>
    <col min="4" max="4" width="12.109375" bestFit="1" customWidth="1"/>
    <col min="6" max="8" width="14.77734375" customWidth="1"/>
  </cols>
  <sheetData>
    <row r="1" spans="1:8" x14ac:dyDescent="0.3">
      <c r="A1" s="13" t="s">
        <v>32</v>
      </c>
      <c r="B1" s="13" t="s">
        <v>5</v>
      </c>
      <c r="F1" s="42" t="s">
        <v>41</v>
      </c>
      <c r="G1" s="43"/>
      <c r="H1" s="44"/>
    </row>
    <row r="2" spans="1:8" x14ac:dyDescent="0.3">
      <c r="A2" s="13" t="s">
        <v>33</v>
      </c>
      <c r="B2" s="13" t="s">
        <v>3</v>
      </c>
      <c r="E2" s="13" t="s">
        <v>35</v>
      </c>
      <c r="F2" s="10" t="s">
        <v>38</v>
      </c>
      <c r="G2" s="11" t="s">
        <v>39</v>
      </c>
      <c r="H2" s="12" t="s">
        <v>40</v>
      </c>
    </row>
    <row r="3" spans="1:8" x14ac:dyDescent="0.3">
      <c r="E3" s="1">
        <v>120</v>
      </c>
      <c r="F3" s="18">
        <f t="shared" ref="F3:H22" ca="1" si="0">1/(1+EXP(-1*(VLOOKUP("Intercept",INDIRECT($B$1&amp;"Coef"),1+MATCH($B$2,ModelTypes,0),FALSE) + VLOOKUP("LDVMPH",INDIRECT($B$1&amp;"Coef"),1+MATCH($B$2,ModelTypes,0),FALSE)*LN($B$5) + VLOOKUP(F$2,INDIRECT($B$1&amp;"Coef"),1+MATCH($B$2,ModelTypes,0),FALSE) + VLOOKUP("Height",INDIRECT($B$1&amp;"Coef"),1+MATCH($B$2,ModelTypes,0),FALSE)*$E3 + VLOOKUP("BMI",INDIRECT($B$1&amp;"Coef"),1+MATCH($B$2,ModelTypes,0),FALSE)*$B$6 + VLOOKUP("Sex "&amp;$B$7,INDIRECT($B$1&amp;"Coef"),1+MATCH($B$2,ModelTypes,0),FALSE))))</f>
        <v>5.850982075830782E-3</v>
      </c>
      <c r="G3" s="19">
        <f t="shared" ca="1" si="0"/>
        <v>5.5258468884769292E-3</v>
      </c>
      <c r="H3" s="20">
        <f t="shared" ca="1" si="0"/>
        <v>8.1167338306027178E-3</v>
      </c>
    </row>
    <row r="4" spans="1:8" x14ac:dyDescent="0.3">
      <c r="A4" s="41" t="s">
        <v>34</v>
      </c>
      <c r="B4" s="40"/>
      <c r="E4" s="2">
        <v>121</v>
      </c>
      <c r="F4" s="21">
        <f t="shared" ca="1" si="0"/>
        <v>6.0292953381572935E-3</v>
      </c>
      <c r="G4" s="22">
        <f t="shared" ca="1" si="0"/>
        <v>5.6943081568121695E-3</v>
      </c>
      <c r="H4" s="23">
        <f t="shared" ca="1" si="0"/>
        <v>8.3635167482360717E-3</v>
      </c>
    </row>
    <row r="5" spans="1:8" x14ac:dyDescent="0.3">
      <c r="A5" s="1" t="s">
        <v>36</v>
      </c>
      <c r="B5" s="1">
        <v>35</v>
      </c>
      <c r="E5" s="2">
        <v>122</v>
      </c>
      <c r="F5" s="21">
        <f t="shared" ca="1" si="0"/>
        <v>6.21300887517313E-3</v>
      </c>
      <c r="G5" s="22">
        <f t="shared" ca="1" si="0"/>
        <v>5.8678748413131246E-3</v>
      </c>
      <c r="H5" s="23">
        <f t="shared" ca="1" si="0"/>
        <v>8.6177377165769647E-3</v>
      </c>
    </row>
    <row r="6" spans="1:8" x14ac:dyDescent="0.3">
      <c r="A6" s="2" t="s">
        <v>25</v>
      </c>
      <c r="B6" s="2">
        <v>20</v>
      </c>
      <c r="E6" s="2">
        <v>123</v>
      </c>
      <c r="F6" s="21">
        <f t="shared" ca="1" si="0"/>
        <v>6.4022841353659852E-3</v>
      </c>
      <c r="G6" s="22">
        <f t="shared" ca="1" si="0"/>
        <v>6.0466997926165774E-3</v>
      </c>
      <c r="H6" s="23">
        <f t="shared" ca="1" si="0"/>
        <v>8.8796168971306613E-3</v>
      </c>
    </row>
    <row r="7" spans="1:8" x14ac:dyDescent="0.3">
      <c r="A7" s="3" t="s">
        <v>45</v>
      </c>
      <c r="B7" s="3" t="s">
        <v>26</v>
      </c>
      <c r="E7" s="2">
        <v>124</v>
      </c>
      <c r="F7" s="21">
        <f t="shared" ca="1" si="0"/>
        <v>6.5972872640657548E-3</v>
      </c>
      <c r="G7" s="22">
        <f t="shared" ca="1" si="0"/>
        <v>6.2309403215676492E-3</v>
      </c>
      <c r="H7" s="23">
        <f t="shared" ca="1" si="0"/>
        <v>9.1493807200435529E-3</v>
      </c>
    </row>
    <row r="8" spans="1:8" x14ac:dyDescent="0.3">
      <c r="E8" s="2">
        <v>125</v>
      </c>
      <c r="F8" s="21">
        <f t="shared" ca="1" si="0"/>
        <v>6.7981892320310563E-3</v>
      </c>
      <c r="G8" s="22">
        <f t="shared" ca="1" si="0"/>
        <v>6.4207583221765853E-3</v>
      </c>
      <c r="H8" s="23">
        <f t="shared" ca="1" si="0"/>
        <v>9.4272620472328691E-3</v>
      </c>
    </row>
    <row r="9" spans="1:8" x14ac:dyDescent="0.3">
      <c r="E9" s="2">
        <v>126</v>
      </c>
      <c r="F9" s="21">
        <f t="shared" ca="1" si="0"/>
        <v>7.0051659670503728E-3</v>
      </c>
      <c r="G9" s="22">
        <f t="shared" ca="1" si="0"/>
        <v>6.6163203975137495E-3</v>
      </c>
      <c r="H9" s="23">
        <f t="shared" ca="1" si="0"/>
        <v>9.7135003387929467E-3</v>
      </c>
    </row>
    <row r="10" spans="1:8" x14ac:dyDescent="0.3">
      <c r="E10" s="2">
        <v>127</v>
      </c>
      <c r="F10" s="21">
        <f t="shared" ca="1" si="0"/>
        <v>7.2183984885958053E-3</v>
      </c>
      <c r="G10" s="22">
        <f t="shared" ca="1" si="0"/>
        <v>6.817797988583953E-3</v>
      </c>
      <c r="H10" s="23">
        <f t="shared" ca="1" si="0"/>
        <v>1.0008341822679323E-2</v>
      </c>
    </row>
    <row r="11" spans="1:8" x14ac:dyDescent="0.3">
      <c r="E11" s="2">
        <v>128</v>
      </c>
      <c r="F11" s="21">
        <f t="shared" ca="1" si="0"/>
        <v>7.4380730455648912E-3</v>
      </c>
      <c r="G11" s="22">
        <f t="shared" ca="1" si="0"/>
        <v>7.0253675062191667E-3</v>
      </c>
      <c r="H11" s="23">
        <f t="shared" ca="1" si="0"/>
        <v>1.0312039667665782E-2</v>
      </c>
    </row>
    <row r="12" spans="1:8" x14ac:dyDescent="0.3">
      <c r="E12" s="2">
        <v>129</v>
      </c>
      <c r="F12" s="21">
        <f t="shared" ca="1" si="0"/>
        <v>7.6643812571440791E-3</v>
      </c>
      <c r="G12" s="22">
        <f t="shared" ca="1" si="0"/>
        <v>7.2392104660272145E-3</v>
      </c>
      <c r="H12" s="23">
        <f t="shared" ca="1" si="0"/>
        <v>1.062485415956402E-2</v>
      </c>
    </row>
    <row r="13" spans="1:8" x14ac:dyDescent="0.3">
      <c r="E13" s="2">
        <v>130</v>
      </c>
      <c r="F13" s="21">
        <f t="shared" ca="1" si="0"/>
        <v>7.8975202568249744E-3</v>
      </c>
      <c r="G13" s="22">
        <f t="shared" ca="1" si="0"/>
        <v>7.4595136264320296E-3</v>
      </c>
      <c r="H13" s="23">
        <f t="shared" ca="1" si="0"/>
        <v>1.094705288068918E-2</v>
      </c>
    </row>
    <row r="14" spans="1:8" x14ac:dyDescent="0.3">
      <c r="E14" s="2">
        <v>131</v>
      </c>
      <c r="F14" s="21">
        <f t="shared" ca="1" si="0"/>
        <v>8.1376928396014649E-3</v>
      </c>
      <c r="G14" s="22">
        <f t="shared" ca="1" si="0"/>
        <v>7.6864691298384937E-3</v>
      </c>
      <c r="H14" s="23">
        <f t="shared" ca="1" si="0"/>
        <v>1.1278910892547227E-2</v>
      </c>
    </row>
    <row r="15" spans="1:8" x14ac:dyDescent="0.3">
      <c r="E15" s="2">
        <v>132</v>
      </c>
      <c r="F15" s="21">
        <f t="shared" ca="1" si="0"/>
        <v>8.3851076123733388E-3</v>
      </c>
      <c r="G15" s="22">
        <f t="shared" ca="1" si="0"/>
        <v>7.9202746469529753E-3</v>
      </c>
      <c r="H15" s="23">
        <f t="shared" ca="1" si="0"/>
        <v>1.1620710921713462E-2</v>
      </c>
    </row>
    <row r="16" spans="1:8" x14ac:dyDescent="0.3">
      <c r="E16" s="2">
        <v>133</v>
      </c>
      <c r="F16" s="21">
        <f t="shared" ca="1" si="0"/>
        <v>8.6399791475781952E-3</v>
      </c>
      <c r="G16" s="22">
        <f t="shared" ca="1" si="0"/>
        <v>8.1611335242873558E-3</v>
      </c>
      <c r="H16" s="23">
        <f t="shared" ca="1" si="0"/>
        <v>1.1972743548862781E-2</v>
      </c>
    </row>
    <row r="17" spans="5:8" x14ac:dyDescent="0.3">
      <c r="E17" s="2">
        <v>134</v>
      </c>
      <c r="F17" s="21">
        <f t="shared" ca="1" si="0"/>
        <v>8.902528140070181E-3</v>
      </c>
      <c r="G17" s="22">
        <f t="shared" ca="1" si="0"/>
        <v>8.4092549348716572E-3</v>
      </c>
      <c r="H17" s="23">
        <f t="shared" ca="1" si="0"/>
        <v>1.2335307400904178E-2</v>
      </c>
    </row>
    <row r="18" spans="5:8" x14ac:dyDescent="0.3">
      <c r="E18" s="2">
        <v>135</v>
      </c>
      <c r="F18" s="21">
        <f t="shared" ca="1" si="0"/>
        <v>9.1729815672601037E-3</v>
      </c>
      <c r="G18" s="22">
        <f t="shared" ca="1" si="0"/>
        <v>8.6648540321970762E-3</v>
      </c>
      <c r="H18" s="23">
        <f t="shared" ca="1" si="0"/>
        <v>1.2708709346162856E-2</v>
      </c>
    </row>
    <row r="19" spans="5:8" x14ac:dyDescent="0.3">
      <c r="E19" s="2">
        <v>136</v>
      </c>
      <c r="F19" s="21">
        <f t="shared" ca="1" si="0"/>
        <v>9.4515728525269727E-3</v>
      </c>
      <c r="G19" s="22">
        <f t="shared" ca="1" si="0"/>
        <v>8.9281521074073104E-3</v>
      </c>
      <c r="H19" s="23">
        <f t="shared" ca="1" si="0"/>
        <v>1.3093264692543237E-2</v>
      </c>
    </row>
    <row r="20" spans="5:8" x14ac:dyDescent="0.3">
      <c r="E20" s="2">
        <v>137</v>
      </c>
      <c r="F20" s="21">
        <f t="shared" ca="1" si="0"/>
        <v>9.7385420319066E-3</v>
      </c>
      <c r="G20" s="22">
        <f t="shared" ca="1" si="0"/>
        <v>9.1993767497524307E-3</v>
      </c>
      <c r="H20" s="23">
        <f t="shared" ca="1" si="0"/>
        <v>1.3489297388595972E-2</v>
      </c>
    </row>
    <row r="21" spans="5:8" x14ac:dyDescent="0.3">
      <c r="E21" s="2">
        <v>138</v>
      </c>
      <c r="F21" s="21">
        <f t="shared" ca="1" si="0"/>
        <v>1.0034135924057636E-2</v>
      </c>
      <c r="G21" s="22">
        <f t="shared" ca="1" si="0"/>
        <v>9.4787620103149312E-3</v>
      </c>
      <c r="H21" s="23">
        <f t="shared" ca="1" si="0"/>
        <v>1.3897140227400634E-2</v>
      </c>
    </row>
    <row r="22" spans="5:8" x14ac:dyDescent="0.3">
      <c r="E22" s="2">
        <v>139</v>
      </c>
      <c r="F22" s="21">
        <f t="shared" ca="1" si="0"/>
        <v>1.0338608303500073E-2</v>
      </c>
      <c r="G22" s="22">
        <f t="shared" ca="1" si="0"/>
        <v>9.7665485690131611E-3</v>
      </c>
      <c r="H22" s="23">
        <f t="shared" ca="1" si="0"/>
        <v>1.431713505316428E-2</v>
      </c>
    </row>
    <row r="23" spans="5:8" x14ac:dyDescent="0.3">
      <c r="E23" s="2">
        <v>140</v>
      </c>
      <c r="F23" s="21">
        <f t="shared" ref="F23:H42" ca="1" si="1">1/(1+EXP(-1*(VLOOKUP("Intercept",INDIRECT($B$1&amp;"Coef"),1+MATCH($B$2,ModelTypes,0),FALSE) + VLOOKUP("LDVMPH",INDIRECT($B$1&amp;"Coef"),1+MATCH($B$2,ModelTypes,0),FALSE)*LN($B$5) + VLOOKUP(F$2,INDIRECT($B$1&amp;"Coef"),1+MATCH($B$2,ModelTypes,0),FALSE) + VLOOKUP("Height",INDIRECT($B$1&amp;"Coef"),1+MATCH($B$2,ModelTypes,0),FALSE)*$E23 + VLOOKUP("BMI",INDIRECT($B$1&amp;"Coef"),1+MATCH($B$2,ModelTypes,0),FALSE)*$B$6 + VLOOKUP("Sex "&amp;$B$7,INDIRECT($B$1&amp;"Coef"),1+MATCH($B$2,ModelTypes,0),FALSE))))</f>
        <v>1.0652220077115115E-2</v>
      </c>
      <c r="G23" s="22">
        <f t="shared" ca="1" si="1"/>
        <v>1.0062983904881896E-2</v>
      </c>
      <c r="H23" s="23">
        <f t="shared" ca="1" si="1"/>
        <v>1.4749632970422612E-2</v>
      </c>
    </row>
    <row r="24" spans="5:8" x14ac:dyDescent="0.3">
      <c r="E24" s="2">
        <v>141</v>
      </c>
      <c r="F24" s="21">
        <f t="shared" ca="1" si="1"/>
        <v>1.097523946388905E-2</v>
      </c>
      <c r="G24" s="22">
        <f t="shared" ca="1" si="1"/>
        <v>1.0368322469624587E-2</v>
      </c>
      <c r="H24" s="23">
        <f t="shared" ca="1" si="1"/>
        <v>1.5194994555717767E-2</v>
      </c>
    </row>
    <row r="25" spans="5:8" x14ac:dyDescent="0.3">
      <c r="E25" s="2">
        <v>142</v>
      </c>
      <c r="F25" s="21">
        <f t="shared" ca="1" si="1"/>
        <v>1.1307942177876774E-2</v>
      </c>
      <c r="G25" s="22">
        <f t="shared" ca="1" si="1"/>
        <v>1.0682825864425564E-2</v>
      </c>
      <c r="H25" s="23">
        <f t="shared" ca="1" si="1"/>
        <v>1.5653590071611736E-2</v>
      </c>
    </row>
    <row r="26" spans="5:8" x14ac:dyDescent="0.3">
      <c r="E26" s="2">
        <v>143</v>
      </c>
      <c r="F26" s="21">
        <f t="shared" ca="1" si="1"/>
        <v>1.1650611614353264E-2</v>
      </c>
      <c r="G26" s="22">
        <f t="shared" ca="1" si="1"/>
        <v>1.1006763020004331E-2</v>
      </c>
      <c r="H26" s="23">
        <f t="shared" ca="1" si="1"/>
        <v>1.6125799682879652E-2</v>
      </c>
    </row>
    <row r="27" spans="5:8" x14ac:dyDescent="0.3">
      <c r="E27" s="2">
        <v>144</v>
      </c>
      <c r="F27" s="21">
        <f t="shared" ca="1" si="1"/>
        <v>1.2003539039113085E-2</v>
      </c>
      <c r="G27" s="22">
        <f t="shared" ca="1" si="1"/>
        <v>1.1340410379886678E-2</v>
      </c>
      <c r="H27" s="23">
        <f t="shared" ca="1" si="1"/>
        <v>1.661201367471048E-2</v>
      </c>
    </row>
    <row r="28" spans="5:8" x14ac:dyDescent="0.3">
      <c r="E28" s="2">
        <v>145</v>
      </c>
      <c r="F28" s="21">
        <f t="shared" ca="1" si="1"/>
        <v>1.2367023780869679E-2</v>
      </c>
      <c r="G28" s="22">
        <f t="shared" ca="1" si="1"/>
        <v>1.1684052086860301E-2</v>
      </c>
      <c r="H28" s="23">
        <f t="shared" ca="1" si="1"/>
        <v>1.7112632672725871E-2</v>
      </c>
    </row>
    <row r="29" spans="5:8" x14ac:dyDescent="0.3">
      <c r="E29" s="2">
        <v>146</v>
      </c>
      <c r="F29" s="21">
        <f t="shared" ca="1" si="1"/>
        <v>1.2741373426696791E-2</v>
      </c>
      <c r="G29" s="22">
        <f t="shared" ca="1" si="1"/>
        <v>1.203798017257419E-2</v>
      </c>
      <c r="H29" s="23">
        <f t="shared" ca="1" si="1"/>
        <v>1.7628067864609472E-2</v>
      </c>
    </row>
    <row r="30" spans="5:8" x14ac:dyDescent="0.3">
      <c r="E30" s="2">
        <v>147</v>
      </c>
      <c r="F30" s="21">
        <f t="shared" ca="1" si="1"/>
        <v>1.3126904020444754E-2</v>
      </c>
      <c r="G30" s="22">
        <f t="shared" ca="1" si="1"/>
        <v>1.2402494750232742E-2</v>
      </c>
      <c r="H30" s="23">
        <f t="shared" ca="1" si="1"/>
        <v>1.8158741223120067E-2</v>
      </c>
    </row>
    <row r="31" spans="5:8" x14ac:dyDescent="0.3">
      <c r="E31" s="2">
        <v>148</v>
      </c>
      <c r="F31" s="21">
        <f t="shared" ca="1" si="1"/>
        <v>1.3523940264053506E-2</v>
      </c>
      <c r="G31" s="22">
        <f t="shared" ca="1" si="1"/>
        <v>1.2777904210325942E-2</v>
      </c>
      <c r="H31" s="23">
        <f t="shared" ca="1" si="1"/>
        <v>1.8705085730241086E-2</v>
      </c>
    </row>
    <row r="32" spans="5:8" x14ac:dyDescent="0.3">
      <c r="E32" s="2">
        <v>149</v>
      </c>
      <c r="F32" s="21">
        <f t="shared" ca="1" si="1"/>
        <v>1.393281572167325E-2</v>
      </c>
      <c r="G32" s="22">
        <f t="shared" ca="1" si="1"/>
        <v>1.3164525419327314E-2</v>
      </c>
      <c r="H32" s="23">
        <f t="shared" ca="1" si="1"/>
        <v>1.9267545602198122E-2</v>
      </c>
    </row>
    <row r="33" spans="5:8" x14ac:dyDescent="0.3">
      <c r="E33" s="2">
        <v>150</v>
      </c>
      <c r="F33" s="21">
        <f t="shared" ca="1" si="1"/>
        <v>1.4353873026491618E-2</v>
      </c>
      <c r="G33" s="22">
        <f t="shared" ca="1" si="1"/>
        <v>1.3562683921280615E-2</v>
      </c>
      <c r="H33" s="23">
        <f t="shared" ca="1" si="1"/>
        <v>1.9846576515052918E-2</v>
      </c>
    </row>
    <row r="34" spans="5:8" x14ac:dyDescent="0.3">
      <c r="E34" s="2">
        <v>151</v>
      </c>
      <c r="F34" s="21">
        <f t="shared" ca="1" si="1"/>
        <v>1.4787464090153326E-2</v>
      </c>
      <c r="G34" s="22">
        <f t="shared" ca="1" si="1"/>
        <v>1.3972714142185014E-2</v>
      </c>
      <c r="H34" s="23">
        <f t="shared" ca="1" si="1"/>
        <v>2.0442645830559082E-2</v>
      </c>
    </row>
    <row r="35" spans="5:8" x14ac:dyDescent="0.3">
      <c r="E35" s="2">
        <v>152</v>
      </c>
      <c r="F35" s="21">
        <f t="shared" ca="1" si="1"/>
        <v>1.5233950314644723E-2</v>
      </c>
      <c r="G35" s="22">
        <f t="shared" ca="1" si="1"/>
        <v>1.4394959597076354E-2</v>
      </c>
      <c r="H35" s="23">
        <f t="shared" ca="1" si="1"/>
        <v>2.1056232821938862E-2</v>
      </c>
    </row>
    <row r="36" spans="5:8" x14ac:dyDescent="0.3">
      <c r="E36" s="2">
        <v>153</v>
      </c>
      <c r="F36" s="21">
        <f t="shared" ca="1" si="1"/>
        <v>1.5693702806501321E-2</v>
      </c>
      <c r="G36" s="22">
        <f t="shared" ca="1" si="1"/>
        <v>1.4829773099689244E-2</v>
      </c>
      <c r="H36" s="23">
        <f t="shared" ca="1" si="1"/>
        <v>2.1687828899214702E-2</v>
      </c>
    </row>
    <row r="37" spans="5:8" x14ac:dyDescent="0.3">
      <c r="E37" s="2">
        <v>154</v>
      </c>
      <c r="F37" s="21">
        <f t="shared" ca="1" si="1"/>
        <v>1.6167102593180781E-2</v>
      </c>
      <c r="G37" s="22">
        <f t="shared" ca="1" si="1"/>
        <v>1.5277516974571029E-2</v>
      </c>
      <c r="H37" s="23">
        <f t="shared" ca="1" si="1"/>
        <v>2.2337937833701034E-2</v>
      </c>
    </row>
    <row r="38" spans="5:8" x14ac:dyDescent="0.3">
      <c r="E38" s="2">
        <v>155</v>
      </c>
      <c r="F38" s="21">
        <f t="shared" ca="1" si="1"/>
        <v>1.6654540841427978E-2</v>
      </c>
      <c r="G38" s="22">
        <f t="shared" ca="1" si="1"/>
        <v>1.5738563271504434E-2</v>
      </c>
      <c r="H38" s="23">
        <f t="shared" ca="1" si="1"/>
        <v>2.3007075981233183E-2</v>
      </c>
    </row>
    <row r="39" spans="5:8" x14ac:dyDescent="0.3">
      <c r="E39" s="2">
        <v>156</v>
      </c>
      <c r="F39" s="21">
        <f t="shared" ca="1" si="1"/>
        <v>1.7156419077440858E-2</v>
      </c>
      <c r="G39" s="22">
        <f t="shared" ca="1" si="1"/>
        <v>1.6213293982079626E-2</v>
      </c>
      <c r="H39" s="23">
        <f t="shared" ca="1" si="1"/>
        <v>2.3695772503679154E-2</v>
      </c>
    </row>
    <row r="40" spans="5:8" x14ac:dyDescent="0.3">
      <c r="E40" s="2">
        <v>157</v>
      </c>
      <c r="F40" s="21">
        <f t="shared" ca="1" si="1"/>
        <v>1.7673149408628158E-2</v>
      </c>
      <c r="G40" s="22">
        <f t="shared" ca="1" si="1"/>
        <v>1.6702101258240721E-2</v>
      </c>
      <c r="H40" s="23">
        <f t="shared" ca="1" si="1"/>
        <v>2.4404569588248853E-2</v>
      </c>
    </row>
    <row r="41" spans="5:8" x14ac:dyDescent="0.3">
      <c r="E41" s="2">
        <v>158</v>
      </c>
      <c r="F41" s="21">
        <f t="shared" ca="1" si="1"/>
        <v>1.8205154746730279E-2</v>
      </c>
      <c r="G41" s="22">
        <f t="shared" ca="1" si="1"/>
        <v>1.7205387632613884E-2</v>
      </c>
      <c r="H41" s="23">
        <f t="shared" ca="1" si="1"/>
        <v>2.5134022664081306E-2</v>
      </c>
    </row>
    <row r="42" spans="5:8" x14ac:dyDescent="0.3">
      <c r="E42" s="2">
        <v>159</v>
      </c>
      <c r="F42" s="21">
        <f t="shared" ca="1" si="1"/>
        <v>1.8752869032054541E-2</v>
      </c>
      <c r="G42" s="22">
        <f t="shared" ca="1" si="1"/>
        <v>1.7723566240406233E-2</v>
      </c>
      <c r="H42" s="23">
        <f t="shared" ca="1" si="1"/>
        <v>2.588470061555638E-2</v>
      </c>
    </row>
    <row r="43" spans="5:8" x14ac:dyDescent="0.3">
      <c r="E43" s="2">
        <v>160</v>
      </c>
      <c r="F43" s="21">
        <f t="shared" ref="F43:H62" ca="1" si="2">1/(1+EXP(-1*(VLOOKUP("Intercept",INDIRECT($B$1&amp;"Coef"),1+MATCH($B$2,ModelTypes,0),FALSE) + VLOOKUP("LDVMPH",INDIRECT($B$1&amp;"Coef"),1+MATCH($B$2,ModelTypes,0),FALSE)*LN($B$5) + VLOOKUP(F$2,INDIRECT($B$1&amp;"Coef"),1+MATCH($B$2,ModelTypes,0),FALSE) + VLOOKUP("Height",INDIRECT($B$1&amp;"Coef"),1+MATCH($B$2,ModelTypes,0),FALSE)*$E43 + VLOOKUP("BMI",INDIRECT($B$1&amp;"Coef"),1+MATCH($B$2,ModelTypes,0),FALSE)*$B$6 + VLOOKUP("Sex "&amp;$B$7,INDIRECT($B$1&amp;"Coef"),1+MATCH($B$2,ModelTypes,0),FALSE))))</f>
        <v>1.9316737458554032E-2</v>
      </c>
      <c r="G43" s="22">
        <f t="shared" ca="1" si="2"/>
        <v>1.8257061042644865E-2</v>
      </c>
      <c r="H43" s="23">
        <f t="shared" ca="1" si="2"/>
        <v>2.6657185991740235E-2</v>
      </c>
    </row>
    <row r="44" spans="5:8" x14ac:dyDescent="0.3">
      <c r="E44" s="2">
        <v>161</v>
      </c>
      <c r="F44" s="21">
        <f t="shared" ca="1" si="2"/>
        <v>1.9897216699456977E-2</v>
      </c>
      <c r="G44" s="22">
        <f t="shared" ca="1" si="2"/>
        <v>1.880630705050516E-2</v>
      </c>
      <c r="H44" s="23">
        <f t="shared" ca="1" si="2"/>
        <v>2.7452075211336725E-2</v>
      </c>
    </row>
    <row r="45" spans="5:8" x14ac:dyDescent="0.3">
      <c r="E45" s="2">
        <v>162</v>
      </c>
      <c r="F45" s="21">
        <f t="shared" ca="1" si="2"/>
        <v>2.049477513312923E-2</v>
      </c>
      <c r="G45" s="22">
        <f t="shared" ca="1" si="2"/>
        <v>1.9371750550455581E-2</v>
      </c>
      <c r="H45" s="23">
        <f t="shared" ca="1" si="2"/>
        <v>2.8269978762477027E-2</v>
      </c>
    </row>
    <row r="46" spans="5:8" x14ac:dyDescent="0.3">
      <c r="E46" s="2">
        <v>163</v>
      </c>
      <c r="F46" s="21">
        <f t="shared" ca="1" si="2"/>
        <v>2.1109893068827691E-2</v>
      </c>
      <c r="G46" s="22">
        <f t="shared" ca="1" si="2"/>
        <v>1.995384932992365E-2</v>
      </c>
      <c r="H46" s="23">
        <f t="shared" ca="1" si="2"/>
        <v>2.9111521396639434E-2</v>
      </c>
    </row>
    <row r="47" spans="5:8" x14ac:dyDescent="0.3">
      <c r="E47" s="2">
        <v>164</v>
      </c>
      <c r="F47" s="21">
        <f t="shared" ca="1" si="2"/>
        <v>2.174306297197541E-2</v>
      </c>
      <c r="G47" s="22">
        <f t="shared" ca="1" si="2"/>
        <v>2.0553072903163255E-2</v>
      </c>
      <c r="H47" s="23">
        <f t="shared" ca="1" si="2"/>
        <v>2.9977342315948025E-2</v>
      </c>
    </row>
    <row r="48" spans="5:8" x14ac:dyDescent="0.3">
      <c r="E48" s="2">
        <v>165</v>
      </c>
      <c r="F48" s="21">
        <f t="shared" ca="1" si="2"/>
        <v>2.2394789688561817E-2</v>
      </c>
      <c r="G48" s="22">
        <f t="shared" ca="1" si="2"/>
        <v>2.1169902736978507E-2</v>
      </c>
      <c r="H48" s="23">
        <f t="shared" ca="1" si="2"/>
        <v>3.0868095353055663E-2</v>
      </c>
    </row>
    <row r="49" spans="5:8" x14ac:dyDescent="0.3">
      <c r="E49" s="2">
        <v>166</v>
      </c>
      <c r="F49" s="21">
        <f t="shared" ca="1" si="2"/>
        <v>2.3065590668241903E-2</v>
      </c>
      <c r="G49" s="22">
        <f t="shared" ca="1" si="2"/>
        <v>2.1804832475932491E-2</v>
      </c>
      <c r="H49" s="23">
        <f t="shared" ca="1" si="2"/>
        <v>3.1784449142770871E-2</v>
      </c>
    </row>
    <row r="50" spans="5:8" x14ac:dyDescent="0.3">
      <c r="E50" s="2">
        <v>167</v>
      </c>
      <c r="F50" s="21">
        <f t="shared" ca="1" si="2"/>
        <v>2.3755996185678183E-2</v>
      </c>
      <c r="G50" s="22">
        <f t="shared" ca="1" si="2"/>
        <v>2.2458368166641623E-2</v>
      </c>
      <c r="H50" s="23">
        <f t="shared" ca="1" si="2"/>
        <v>3.272708728454151E-2</v>
      </c>
    </row>
    <row r="51" spans="5:8" x14ac:dyDescent="0.3">
      <c r="E51" s="2">
        <v>168</v>
      </c>
      <c r="F51" s="21">
        <f t="shared" ca="1" si="2"/>
        <v>2.4466549559636317E-2</v>
      </c>
      <c r="G51" s="22">
        <f t="shared" ca="1" si="2"/>
        <v>2.3131028480726377E-2</v>
      </c>
      <c r="H51" s="23">
        <f t="shared" ca="1" si="2"/>
        <v>3.3696708494859166E-2</v>
      </c>
    </row>
    <row r="52" spans="5:8" x14ac:dyDescent="0.3">
      <c r="E52" s="2">
        <v>169</v>
      </c>
      <c r="F52" s="21">
        <f t="shared" ca="1" si="2"/>
        <v>2.5197807369312784E-2</v>
      </c>
      <c r="G52" s="22">
        <f t="shared" ca="1" si="2"/>
        <v>2.3823344935959199E-2</v>
      </c>
      <c r="H52" s="23">
        <f t="shared" ca="1" si="2"/>
        <v>3.4694026748598922E-2</v>
      </c>
    </row>
    <row r="53" spans="5:8" x14ac:dyDescent="0.3">
      <c r="E53" s="2">
        <v>170</v>
      </c>
      <c r="F53" s="21">
        <f t="shared" ca="1" si="2"/>
        <v>2.5950339667337289E-2</v>
      </c>
      <c r="G53" s="22">
        <f t="shared" ca="1" si="2"/>
        <v>2.4535862115117553E-2</v>
      </c>
      <c r="H53" s="23">
        <f t="shared" ca="1" si="2"/>
        <v>3.5719771408257488E-2</v>
      </c>
    </row>
    <row r="54" spans="5:8" x14ac:dyDescent="0.3">
      <c r="E54" s="2">
        <v>171</v>
      </c>
      <c r="F54" s="21">
        <f t="shared" ca="1" si="2"/>
        <v>2.6724730188856766E-2</v>
      </c>
      <c r="G54" s="22">
        <f t="shared" ca="1" si="2"/>
        <v>2.5269137882017081E-2</v>
      </c>
      <c r="H54" s="23">
        <f t="shared" ca="1" si="2"/>
        <v>3.6774687340000771E-2</v>
      </c>
    </row>
    <row r="55" spans="5:8" x14ac:dyDescent="0.3">
      <c r="E55" s="2">
        <v>172</v>
      </c>
      <c r="F55" s="21">
        <f t="shared" ca="1" si="2"/>
        <v>2.7521576556069103E-2</v>
      </c>
      <c r="G55" s="22">
        <f t="shared" ca="1" si="2"/>
        <v>2.6023743594164081E-2</v>
      </c>
      <c r="H55" s="23">
        <f t="shared" ca="1" si="2"/>
        <v>3.7859535015377331E-2</v>
      </c>
    </row>
    <row r="56" spans="5:8" x14ac:dyDescent="0.3">
      <c r="E56" s="2">
        <v>173</v>
      </c>
      <c r="F56" s="21">
        <f t="shared" ca="1" si="2"/>
        <v>2.8341490477536008E-2</v>
      </c>
      <c r="G56" s="22">
        <f t="shared" ca="1" si="2"/>
        <v>2.6800264311430521E-2</v>
      </c>
      <c r="H56" s="23">
        <f t="shared" ca="1" si="2"/>
        <v>3.8975090597500268E-2</v>
      </c>
    </row>
    <row r="57" spans="5:8" x14ac:dyDescent="0.3">
      <c r="E57" s="2">
        <v>174</v>
      </c>
      <c r="F57" s="21">
        <f t="shared" ca="1" si="2"/>
        <v>2.9185097941562724E-2</v>
      </c>
      <c r="G57" s="22">
        <f t="shared" ca="1" si="2"/>
        <v>2.7599299000116189E-2</v>
      </c>
      <c r="H57" s="23">
        <f t="shared" ca="1" si="2"/>
        <v>4.0122146010443643E-2</v>
      </c>
    </row>
    <row r="58" spans="5:8" x14ac:dyDescent="0.3">
      <c r="E58" s="2">
        <v>175</v>
      </c>
      <c r="F58" s="21">
        <f t="shared" ca="1" si="2"/>
        <v>3.0053039402890336E-2</v>
      </c>
      <c r="G58" s="22">
        <f t="shared" ca="1" si="2"/>
        <v>2.8421460731723445E-2</v>
      </c>
      <c r="H58" s="23">
        <f t="shared" ca="1" si="2"/>
        <v>4.1301508990543391E-2</v>
      </c>
    </row>
    <row r="59" spans="5:8" x14ac:dyDescent="0.3">
      <c r="E59" s="2">
        <v>176</v>
      </c>
      <c r="F59" s="21">
        <f t="shared" ca="1" si="2"/>
        <v>3.0945969961901656E-2</v>
      </c>
      <c r="G59" s="22">
        <f t="shared" ca="1" si="2"/>
        <v>2.926737687572822E-2</v>
      </c>
      <c r="H59" s="23">
        <f t="shared" ca="1" si="2"/>
        <v>4.2514003118234583E-2</v>
      </c>
    </row>
    <row r="60" spans="5:8" x14ac:dyDescent="0.3">
      <c r="E60" s="2">
        <v>177</v>
      </c>
      <c r="F60" s="21">
        <f t="shared" ca="1" si="2"/>
        <v>3.1864559535496564E-2</v>
      </c>
      <c r="G60" s="22">
        <f t="shared" ca="1" si="2"/>
        <v>3.0137689285588739E-2</v>
      </c>
      <c r="H60" s="23">
        <f t="shared" ca="1" si="2"/>
        <v>4.3760467828999693E-2</v>
      </c>
    </row>
    <row r="61" spans="5:8" x14ac:dyDescent="0.3">
      <c r="E61" s="2">
        <v>178</v>
      </c>
      <c r="F61" s="21">
        <f t="shared" ca="1" si="2"/>
        <v>3.2809493018745285E-2</v>
      </c>
      <c r="G61" s="22">
        <f t="shared" ca="1" si="2"/>
        <v>3.1033054477188786E-2</v>
      </c>
      <c r="H61" s="23">
        <f t="shared" ca="1" si="2"/>
        <v>4.5041758401943459E-2</v>
      </c>
    </row>
    <row r="62" spans="5:8" x14ac:dyDescent="0.3">
      <c r="E62" s="2">
        <v>179</v>
      </c>
      <c r="F62" s="21">
        <f t="shared" ca="1" si="2"/>
        <v>3.378147043637985E-2</v>
      </c>
      <c r="G62" s="22">
        <f t="shared" ca="1" si="2"/>
        <v>3.1954143798867067E-2</v>
      </c>
      <c r="H62" s="23">
        <f t="shared" ca="1" si="2"/>
        <v>4.6358745924452709E-2</v>
      </c>
    </row>
    <row r="63" spans="5:8" x14ac:dyDescent="0.3">
      <c r="E63" s="2">
        <v>180</v>
      </c>
      <c r="F63" s="21">
        <f t="shared" ref="F63:H83" ca="1" si="3">1/(1+EXP(-1*(VLOOKUP("Intercept",INDIRECT($B$1&amp;"Coef"),1+MATCH($B$2,ModelTypes,0),FALSE) + VLOOKUP("LDVMPH",INDIRECT($B$1&amp;"Coef"),1+MATCH($B$2,ModelTypes,0),FALSE)*LN($B$5) + VLOOKUP(F$2,INDIRECT($B$1&amp;"Coef"),1+MATCH($B$2,ModelTypes,0),FALSE) + VLOOKUP("Height",INDIRECT($B$1&amp;"Coef"),1+MATCH($B$2,ModelTypes,0),FALSE)*$E63 + VLOOKUP("BMI",INDIRECT($B$1&amp;"Coef"),1+MATCH($B$2,ModelTypes,0),FALSE)*$B$6 + VLOOKUP("Sex "&amp;$B$7,INDIRECT($B$1&amp;"Coef"),1+MATCH($B$2,ModelTypes,0),FALSE))))</f>
        <v>3.4781207083133481E-2</v>
      </c>
      <c r="G63" s="22">
        <f t="shared" ca="1" si="3"/>
        <v>3.2901643592136237E-2</v>
      </c>
      <c r="H63" s="23">
        <f t="shared" ca="1" si="3"/>
        <v>4.7712317231339445E-2</v>
      </c>
    </row>
    <row r="64" spans="5:8" x14ac:dyDescent="0.3">
      <c r="E64" s="2">
        <v>181</v>
      </c>
      <c r="F64" s="21">
        <f t="shared" ca="1" si="3"/>
        <v>3.5809433651886796E-2</v>
      </c>
      <c r="G64" s="22">
        <f t="shared" ca="1" si="3"/>
        <v>3.3876255342147173E-2</v>
      </c>
      <c r="H64" s="23">
        <f t="shared" ca="1" si="3"/>
        <v>4.9103374816809278E-2</v>
      </c>
    </row>
    <row r="65" spans="5:8" x14ac:dyDescent="0.3">
      <c r="E65" s="2">
        <v>182</v>
      </c>
      <c r="F65" s="21">
        <f t="shared" ca="1" si="3"/>
        <v>3.6866896348526815E-2</v>
      </c>
      <c r="G65" s="22">
        <f t="shared" ca="1" si="3"/>
        <v>3.4878695816903442E-2</v>
      </c>
      <c r="H65" s="23">
        <f t="shared" ca="1" si="3"/>
        <v>5.0532836717538693E-2</v>
      </c>
    </row>
    <row r="66" spans="5:8" x14ac:dyDescent="0.3">
      <c r="E66" s="2">
        <v>183</v>
      </c>
      <c r="F66" s="21">
        <f t="shared" ca="1" si="3"/>
        <v>3.7954356992371464E-2</v>
      </c>
      <c r="G66" s="22">
        <f t="shared" ca="1" si="3"/>
        <v>3.5909697194180086E-2</v>
      </c>
      <c r="H66" s="23">
        <f t="shared" ca="1" si="3"/>
        <v>5.2001636365089685E-2</v>
      </c>
    </row>
    <row r="67" spans="5:8" x14ac:dyDescent="0.3">
      <c r="E67" s="2">
        <v>184</v>
      </c>
      <c r="F67" s="21">
        <f t="shared" ca="1" si="3"/>
        <v>3.9072593100956302E-2</v>
      </c>
      <c r="G67" s="22">
        <f t="shared" ca="1" si="3"/>
        <v>3.6970007175047191E-2</v>
      </c>
      <c r="H67" s="23">
        <f t="shared" ca="1" si="3"/>
        <v>5.3510722405833558E-2</v>
      </c>
    </row>
    <row r="68" spans="5:8" x14ac:dyDescent="0.3">
      <c r="E68" s="2">
        <v>185</v>
      </c>
      <c r="F68" s="21">
        <f t="shared" ca="1" si="3"/>
        <v>4.0222397957925538E-2</v>
      </c>
      <c r="G68" s="22">
        <f t="shared" ca="1" si="3"/>
        <v>3.8060389082845661E-2</v>
      </c>
      <c r="H68" s="23">
        <f t="shared" ca="1" si="3"/>
        <v>5.5061058486504555E-2</v>
      </c>
    </row>
    <row r="69" spans="5:8" x14ac:dyDescent="0.3">
      <c r="E69" s="2">
        <v>186</v>
      </c>
      <c r="F69" s="21">
        <f t="shared" ca="1" si="3"/>
        <v>4.1404580662711687E-2</v>
      </c>
      <c r="G69" s="22">
        <f t="shared" ca="1" si="3"/>
        <v>3.9181621946407078E-2</v>
      </c>
      <c r="H69" s="23">
        <f t="shared" ca="1" si="3"/>
        <v>5.6653623003450997E-2</v>
      </c>
    </row>
    <row r="70" spans="5:8" x14ac:dyDescent="0.3">
      <c r="E70" s="2">
        <v>187</v>
      </c>
      <c r="F70" s="21">
        <f t="shared" ca="1" si="3"/>
        <v>4.2619966160631594E-2</v>
      </c>
      <c r="G70" s="22">
        <f t="shared" ca="1" si="3"/>
        <v>4.0334500566254067E-2</v>
      </c>
      <c r="H70" s="23">
        <f t="shared" ca="1" si="3"/>
        <v>5.8289408813605115E-2</v>
      </c>
    </row>
    <row r="71" spans="5:8" x14ac:dyDescent="0.3">
      <c r="E71" s="2">
        <v>188</v>
      </c>
      <c r="F71" s="21">
        <f t="shared" ca="1" si="3"/>
        <v>4.386939525196755E-2</v>
      </c>
      <c r="G71" s="22">
        <f t="shared" ca="1" si="3"/>
        <v>4.1519835562459854E-2</v>
      </c>
      <c r="H71" s="23">
        <f t="shared" ca="1" si="3"/>
        <v>5.9969422905145495E-2</v>
      </c>
    </row>
    <row r="72" spans="5:8" x14ac:dyDescent="0.3">
      <c r="E72" s="2">
        <v>189</v>
      </c>
      <c r="F72" s="21">
        <f t="shared" ca="1" si="3"/>
        <v>4.5153724578544989E-2</v>
      </c>
      <c r="G72" s="22">
        <f t="shared" ca="1" si="3"/>
        <v>4.2738453402789235E-2</v>
      </c>
      <c r="H72" s="23">
        <f t="shared" ca="1" si="3"/>
        <v>6.1694686025785837E-2</v>
      </c>
    </row>
    <row r="73" spans="5:8" x14ac:dyDescent="0.3">
      <c r="E73" s="2">
        <v>190</v>
      </c>
      <c r="F73" s="21">
        <f t="shared" ca="1" si="3"/>
        <v>4.6473826586258905E-2</v>
      </c>
      <c r="G73" s="22">
        <f t="shared" ca="1" si="3"/>
        <v>4.3991196409684283E-2</v>
      </c>
      <c r="H73" s="23">
        <f t="shared" ca="1" si="3"/>
        <v>6.3466232266585418E-2</v>
      </c>
    </row>
    <row r="74" spans="5:8" x14ac:dyDescent="0.3">
      <c r="E74" s="2">
        <v>191</v>
      </c>
      <c r="F74" s="21">
        <f t="shared" ca="1" si="3"/>
        <v>4.7830589461943879E-2</v>
      </c>
      <c r="G74" s="22">
        <f t="shared" ca="1" si="3"/>
        <v>4.5278922744600741E-2</v>
      </c>
      <c r="H74" s="23">
        <f t="shared" ca="1" si="3"/>
        <v>6.528510859914477E-2</v>
      </c>
    </row>
    <row r="75" spans="5:8" x14ac:dyDescent="0.3">
      <c r="E75" s="2">
        <v>192</v>
      </c>
      <c r="F75" s="21">
        <f t="shared" ca="1" si="3"/>
        <v>4.9224917042923255E-2</v>
      </c>
      <c r="G75" s="22">
        <f t="shared" ca="1" si="3"/>
        <v>4.6602506368141366E-2</v>
      </c>
      <c r="H75" s="23">
        <f t="shared" ca="1" si="3"/>
        <v>6.7152374364021453E-2</v>
      </c>
    </row>
    <row r="76" spans="5:8" x14ac:dyDescent="0.3">
      <c r="E76" s="2">
        <v>193</v>
      </c>
      <c r="F76" s="21">
        <f t="shared" ca="1" si="3"/>
        <v>5.0657728697517314E-2</v>
      </c>
      <c r="G76" s="22">
        <f t="shared" ca="1" si="3"/>
        <v>4.7962836974375325E-2</v>
      </c>
      <c r="H76" s="23">
        <f t="shared" ca="1" si="3"/>
        <v>6.9069100708180994E-2</v>
      </c>
    </row>
    <row r="77" spans="5:8" x14ac:dyDescent="0.3">
      <c r="E77" s="2">
        <v>194</v>
      </c>
      <c r="F77" s="21">
        <f t="shared" ca="1" si="3"/>
        <v>5.2129959174733093E-2</v>
      </c>
      <c r="G77" s="22">
        <f t="shared" ca="1" si="3"/>
        <v>4.9360819897674504E-2</v>
      </c>
      <c r="H77" s="23">
        <f t="shared" ca="1" si="3"/>
        <v>7.1036369969283253E-2</v>
      </c>
    </row>
    <row r="78" spans="5:8" x14ac:dyDescent="0.3">
      <c r="E78" s="2">
        <v>195</v>
      </c>
      <c r="F78" s="21">
        <f t="shared" ca="1" si="3"/>
        <v>5.3642558421303943E-2</v>
      </c>
      <c r="G78" s="22">
        <f t="shared" ca="1" si="3"/>
        <v>5.0797375990340059E-2</v>
      </c>
      <c r="H78" s="23">
        <f t="shared" ca="1" si="3"/>
        <v>7.3055275004597131E-2</v>
      </c>
    </row>
    <row r="79" spans="5:8" x14ac:dyDescent="0.3">
      <c r="E79" s="2">
        <v>196</v>
      </c>
      <c r="F79" s="21">
        <f t="shared" ca="1" si="3"/>
        <v>5.5196491364194578E-2</v>
      </c>
      <c r="G79" s="22">
        <f t="shared" ca="1" si="3"/>
        <v>5.2273441469237528E-2</v>
      </c>
      <c r="H79" s="23">
        <f t="shared" ca="1" si="3"/>
        <v>7.5126918462339792E-2</v>
      </c>
    </row>
    <row r="80" spans="5:8" x14ac:dyDescent="0.3">
      <c r="E80" s="2">
        <v>197</v>
      </c>
      <c r="F80" s="21">
        <f t="shared" ca="1" si="3"/>
        <v>5.6792737656635027E-2</v>
      </c>
      <c r="G80" s="22">
        <f t="shared" ca="1" si="3"/>
        <v>5.3789967729602824E-2</v>
      </c>
      <c r="H80" s="23">
        <f t="shared" ca="1" si="3"/>
        <v>7.7252411993244882E-2</v>
      </c>
    </row>
    <row r="81" spans="5:8" x14ac:dyDescent="0.3">
      <c r="E81" s="2">
        <v>198</v>
      </c>
      <c r="F81" s="21">
        <f t="shared" ca="1" si="3"/>
        <v>5.8432291385700476E-2</v>
      </c>
      <c r="G81" s="22">
        <f t="shared" ca="1" si="3"/>
        <v>5.5347921124129666E-2</v>
      </c>
      <c r="H81" s="23">
        <f t="shared" ca="1" si="3"/>
        <v>7.9432875400187702E-2</v>
      </c>
    </row>
    <row r="82" spans="5:8" x14ac:dyDescent="0.3">
      <c r="E82" s="2">
        <v>199</v>
      </c>
      <c r="F82" s="21">
        <f t="shared" ca="1" si="3"/>
        <v>6.0116160739407447E-2</v>
      </c>
      <c r="G82" s="22">
        <f t="shared" ca="1" si="3"/>
        <v>5.6948282705397812E-2</v>
      </c>
      <c r="H82" s="23">
        <f t="shared" ca="1" si="3"/>
        <v>8.1669435723725078E-2</v>
      </c>
    </row>
    <row r="83" spans="5:8" x14ac:dyDescent="0.3">
      <c r="E83" s="3">
        <v>200</v>
      </c>
      <c r="F83" s="24">
        <f t="shared" ca="1" si="3"/>
        <v>6.1845367631256823E-2</v>
      </c>
      <c r="G83" s="25">
        <f t="shared" ca="1" si="3"/>
        <v>5.8592047929654285E-2</v>
      </c>
      <c r="H83" s="26">
        <f t="shared" ca="1" si="3"/>
        <v>8.396322626145282E-2</v>
      </c>
    </row>
  </sheetData>
  <mergeCells count="2">
    <mergeCell ref="F1:H1"/>
    <mergeCell ref="A4:B4"/>
  </mergeCells>
  <dataValidations count="3">
    <dataValidation type="list" allowBlank="1" showInputMessage="1" showErrorMessage="1" sqref="B7" xr:uid="{B5E03775-900D-4FF0-8C28-FB380A8E5D2C}">
      <formula1>"M,F"</formula1>
    </dataValidation>
    <dataValidation type="list" allowBlank="1" showInputMessage="1" showErrorMessage="1" sqref="B2" xr:uid="{23ABC20F-7A6B-4DBE-B025-BFFFA9256B17}">
      <formula1>ModelTypes</formula1>
    </dataValidation>
    <dataValidation type="list" allowBlank="1" showInputMessage="1" showErrorMessage="1" sqref="B1" xr:uid="{731D21A2-106A-44F8-A05A-3A7F3011DD26}">
      <formula1>"Head,Chest,LowerExtremity"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C98C-E470-4FAB-AD05-596297A0C90E}">
  <sheetPr>
    <tabColor theme="9"/>
  </sheetPr>
  <dimension ref="A1:H83"/>
  <sheetViews>
    <sheetView workbookViewId="0">
      <selection activeCell="B1" sqref="B1"/>
    </sheetView>
  </sheetViews>
  <sheetFormatPr defaultRowHeight="14.4" x14ac:dyDescent="0.3"/>
  <cols>
    <col min="1" max="1" width="12.21875" bestFit="1" customWidth="1"/>
    <col min="2" max="2" width="16" bestFit="1" customWidth="1"/>
    <col min="3" max="3" width="9.109375" bestFit="1" customWidth="1"/>
    <col min="4" max="4" width="12.109375" bestFit="1" customWidth="1"/>
    <col min="5" max="5" width="11.109375" bestFit="1" customWidth="1"/>
    <col min="6" max="8" width="14.77734375" customWidth="1"/>
  </cols>
  <sheetData>
    <row r="1" spans="1:8" x14ac:dyDescent="0.3">
      <c r="A1" s="13" t="s">
        <v>32</v>
      </c>
      <c r="B1" s="13" t="s">
        <v>31</v>
      </c>
      <c r="F1" s="42" t="s">
        <v>41</v>
      </c>
      <c r="G1" s="43"/>
      <c r="H1" s="44"/>
    </row>
    <row r="2" spans="1:8" x14ac:dyDescent="0.3">
      <c r="A2" s="13" t="s">
        <v>33</v>
      </c>
      <c r="B2" s="13" t="s">
        <v>3</v>
      </c>
      <c r="E2" s="13" t="s">
        <v>46</v>
      </c>
      <c r="F2" s="10" t="s">
        <v>38</v>
      </c>
      <c r="G2" s="11" t="s">
        <v>39</v>
      </c>
      <c r="H2" s="12" t="s">
        <v>40</v>
      </c>
    </row>
    <row r="3" spans="1:8" x14ac:dyDescent="0.3">
      <c r="E3" s="1">
        <v>10</v>
      </c>
      <c r="F3" s="18">
        <f t="shared" ref="F3:H22" ca="1" si="0">1/(1+EXP(-1*(VLOOKUP("Intercept",INDIRECT($B$1&amp;"Coef"),1+MATCH($B$2,ModelTypes,0),FALSE) + VLOOKUP("LDVMPH",INDIRECT($B$1&amp;"Coef"),1+MATCH($B$2,ModelTypes,0),FALSE)*LN($E3) + VLOOKUP(F$2,INDIRECT($B$1&amp;"Coef"),1+MATCH($B$2,ModelTypes,0),FALSE) + VLOOKUP("Height",INDIRECT($B$1&amp;"Coef"),1+MATCH($B$2,ModelTypes,0),FALSE)*$B$5 + VLOOKUP("BMI",INDIRECT($B$1&amp;"Coef"),1+MATCH($B$2,ModelTypes,0),FALSE)*$B$6 + VLOOKUP("Sex "&amp;$B$7,INDIRECT($B$1&amp;"Coef"),1+MATCH($B$2,ModelTypes,0),FALSE))))</f>
        <v>2.1376280299247687E-2</v>
      </c>
      <c r="G3" s="19">
        <f t="shared" ca="1" si="0"/>
        <v>2.3194660066912707E-2</v>
      </c>
      <c r="H3" s="20">
        <f t="shared" ca="1" si="0"/>
        <v>5.1859463240875495E-2</v>
      </c>
    </row>
    <row r="4" spans="1:8" x14ac:dyDescent="0.3">
      <c r="A4" s="41" t="s">
        <v>34</v>
      </c>
      <c r="B4" s="40"/>
      <c r="E4" s="2">
        <v>11</v>
      </c>
      <c r="F4" s="21">
        <f t="shared" ca="1" si="0"/>
        <v>2.8823711399750426E-2</v>
      </c>
      <c r="G4" s="22">
        <f t="shared" ca="1" si="0"/>
        <v>3.1255375796373663E-2</v>
      </c>
      <c r="H4" s="23">
        <f t="shared" ca="1" si="0"/>
        <v>6.917642428027948E-2</v>
      </c>
    </row>
    <row r="5" spans="1:8" x14ac:dyDescent="0.3">
      <c r="A5" s="1" t="s">
        <v>35</v>
      </c>
      <c r="B5" s="1">
        <v>150</v>
      </c>
      <c r="E5" s="2">
        <v>12</v>
      </c>
      <c r="F5" s="21">
        <f t="shared" ca="1" si="0"/>
        <v>3.7780618038572689E-2</v>
      </c>
      <c r="G5" s="22">
        <f t="shared" ca="1" si="0"/>
        <v>4.0936066181654358E-2</v>
      </c>
      <c r="H5" s="23">
        <f t="shared" ca="1" si="0"/>
        <v>8.9517034633689097E-2</v>
      </c>
    </row>
    <row r="6" spans="1:8" x14ac:dyDescent="0.3">
      <c r="A6" s="2" t="s">
        <v>25</v>
      </c>
      <c r="B6" s="2">
        <v>40</v>
      </c>
      <c r="E6" s="2">
        <v>13</v>
      </c>
      <c r="F6" s="21">
        <f t="shared" ca="1" si="0"/>
        <v>4.8337771937145946E-2</v>
      </c>
      <c r="G6" s="22">
        <f t="shared" ca="1" si="0"/>
        <v>5.2327006403541217E-2</v>
      </c>
      <c r="H6" s="23">
        <f t="shared" ca="1" si="0"/>
        <v>0.11283575318099387</v>
      </c>
    </row>
    <row r="7" spans="1:8" x14ac:dyDescent="0.3">
      <c r="A7" s="3" t="s">
        <v>45</v>
      </c>
      <c r="B7" s="3" t="s">
        <v>57</v>
      </c>
      <c r="E7" s="2">
        <v>14</v>
      </c>
      <c r="F7" s="21">
        <f t="shared" ca="1" si="0"/>
        <v>6.0560758887757492E-2</v>
      </c>
      <c r="G7" s="22">
        <f t="shared" ca="1" si="0"/>
        <v>6.5489318437235169E-2</v>
      </c>
      <c r="H7" s="23">
        <f t="shared" ca="1" si="0"/>
        <v>0.13898618558249751</v>
      </c>
    </row>
    <row r="8" spans="1:8" x14ac:dyDescent="0.3">
      <c r="E8" s="2">
        <v>15</v>
      </c>
      <c r="F8" s="21">
        <f t="shared" ca="1" si="0"/>
        <v>7.448674021783333E-2</v>
      </c>
      <c r="G8" s="22">
        <f t="shared" ca="1" si="0"/>
        <v>8.0451569329527253E-2</v>
      </c>
      <c r="H8" s="23">
        <f t="shared" ca="1" si="0"/>
        <v>0.16772637477971275</v>
      </c>
    </row>
    <row r="9" spans="1:8" x14ac:dyDescent="0.3">
      <c r="E9" s="2">
        <v>16</v>
      </c>
      <c r="F9" s="21">
        <f t="shared" ca="1" si="0"/>
        <v>9.012204779383963E-2</v>
      </c>
      <c r="G9" s="22">
        <f t="shared" ca="1" si="0"/>
        <v>9.7207432834244586E-2</v>
      </c>
      <c r="H9" s="23">
        <f t="shared" ca="1" si="0"/>
        <v>0.19873083051359255</v>
      </c>
    </row>
    <row r="10" spans="1:8" x14ac:dyDescent="0.3">
      <c r="E10" s="2">
        <v>17</v>
      </c>
      <c r="F10" s="21">
        <f t="shared" ca="1" si="0"/>
        <v>0.10744082336105854</v>
      </c>
      <c r="G10" s="22">
        <f t="shared" ca="1" si="0"/>
        <v>0.11571464567540003</v>
      </c>
      <c r="H10" s="23">
        <f t="shared" ca="1" si="0"/>
        <v>0.23160820145760558</v>
      </c>
    </row>
    <row r="11" spans="1:8" x14ac:dyDescent="0.3">
      <c r="E11" s="2">
        <v>18</v>
      </c>
      <c r="F11" s="21">
        <f t="shared" ca="1" si="0"/>
        <v>0.12638485574539945</v>
      </c>
      <c r="G11" s="22">
        <f t="shared" ca="1" si="0"/>
        <v>0.13589540895059313</v>
      </c>
      <c r="H11" s="23">
        <f t="shared" ca="1" si="0"/>
        <v>0.26592277680901988</v>
      </c>
    </row>
    <row r="12" spans="1:8" x14ac:dyDescent="0.3">
      <c r="E12" s="2">
        <v>19</v>
      </c>
      <c r="F12" s="21">
        <f t="shared" ca="1" si="0"/>
        <v>0.14686469115059084</v>
      </c>
      <c r="G12" s="22">
        <f t="shared" ca="1" si="0"/>
        <v>0.15763828125508933</v>
      </c>
      <c r="H12" s="23">
        <f t="shared" ca="1" si="0"/>
        <v>0.30121759944156928</v>
      </c>
    </row>
    <row r="13" spans="1:8" x14ac:dyDescent="0.3">
      <c r="E13" s="2">
        <v>20</v>
      </c>
      <c r="F13" s="21">
        <f t="shared" ca="1" si="0"/>
        <v>0.16876200029448143</v>
      </c>
      <c r="G13" s="22">
        <f t="shared" ca="1" si="0"/>
        <v>0.18080149459450751</v>
      </c>
      <c r="H13" s="23">
        <f t="shared" ca="1" si="0"/>
        <v>0.33703694408091811</v>
      </c>
    </row>
    <row r="14" spans="1:8" x14ac:dyDescent="0.3">
      <c r="E14" s="2">
        <v>21</v>
      </c>
      <c r="F14" s="21">
        <f t="shared" ca="1" si="0"/>
        <v>0.19193309178115542</v>
      </c>
      <c r="G14" s="22">
        <f t="shared" ca="1" si="0"/>
        <v>0.20521751120516016</v>
      </c>
      <c r="H14" s="23">
        <f t="shared" ca="1" si="0"/>
        <v>0.37294623221436968</v>
      </c>
    </row>
    <row r="15" spans="1:8" x14ac:dyDescent="0.3">
      <c r="E15" s="2">
        <v>22</v>
      </c>
      <c r="F15" s="21">
        <f t="shared" ca="1" si="0"/>
        <v>0.21621337516829514</v>
      </c>
      <c r="G15" s="22">
        <f t="shared" ca="1" si="0"/>
        <v>0.23069854331518108</v>
      </c>
      <c r="H15" s="23">
        <f t="shared" ca="1" si="0"/>
        <v>0.408548016197047</v>
      </c>
    </row>
    <row r="16" spans="1:8" x14ac:dyDescent="0.3">
      <c r="E16" s="2">
        <v>23</v>
      </c>
      <c r="F16" s="21">
        <f t="shared" ca="1" si="0"/>
        <v>0.24142250996507808</v>
      </c>
      <c r="G16" s="22">
        <f t="shared" ca="1" si="0"/>
        <v>0.25704269054868467</v>
      </c>
      <c r="H16" s="23">
        <f t="shared" ca="1" si="0"/>
        <v>0.44349332758253518</v>
      </c>
    </row>
    <row r="17" spans="5:8" x14ac:dyDescent="0.3">
      <c r="E17" s="2">
        <v>24</v>
      </c>
      <c r="F17" s="21">
        <f t="shared" ca="1" si="0"/>
        <v>0.26736993586349028</v>
      </c>
      <c r="G17" s="22">
        <f t="shared" ca="1" si="0"/>
        <v>0.28404031848329869</v>
      </c>
      <c r="H17" s="23">
        <f t="shared" ca="1" si="0"/>
        <v>0.47748831468544617</v>
      </c>
    </row>
    <row r="18" spans="5:8" x14ac:dyDescent="0.3">
      <c r="E18" s="2">
        <v>25</v>
      </c>
      <c r="F18" s="21">
        <f t="shared" ca="1" si="0"/>
        <v>0.29386046850294378</v>
      </c>
      <c r="G18" s="22">
        <f t="shared" ca="1" si="0"/>
        <v>0.3114803085655623</v>
      </c>
      <c r="H18" s="23">
        <f t="shared" ca="1" si="0"/>
        <v>0.51029659488123857</v>
      </c>
    </row>
    <row r="19" spans="5:8" x14ac:dyDescent="0.3">
      <c r="E19" s="2">
        <v>26</v>
      </c>
      <c r="F19" s="21">
        <f t="shared" ca="1" si="0"/>
        <v>0.32069966328671751</v>
      </c>
      <c r="G19" s="22">
        <f t="shared" ca="1" si="0"/>
        <v>0.33915585035255119</v>
      </c>
      <c r="H19" s="23">
        <f t="shared" ca="1" si="0"/>
        <v>0.54173807152705289</v>
      </c>
    </row>
    <row r="20" spans="5:8" x14ac:dyDescent="0.3">
      <c r="E20" s="2">
        <v>27</v>
      </c>
      <c r="F20" s="21">
        <f t="shared" ca="1" si="0"/>
        <v>0.34769869260911168</v>
      </c>
      <c r="G20" s="22">
        <f t="shared" ca="1" si="0"/>
        <v>0.36686951367219495</v>
      </c>
      <c r="H20" s="23">
        <f t="shared" ca="1" si="0"/>
        <v>0.57168511303200853</v>
      </c>
    </row>
    <row r="21" spans="5:8" x14ac:dyDescent="0.3">
      <c r="E21" s="2">
        <v>28</v>
      </c>
      <c r="F21" s="21">
        <f t="shared" ca="1" si="0"/>
        <v>0.37467854195955719</v>
      </c>
      <c r="G21" s="22">
        <f t="shared" ca="1" si="0"/>
        <v>0.39443742006147026</v>
      </c>
      <c r="H21" s="23">
        <f t="shared" ca="1" si="0"/>
        <v>0.60005699346690722</v>
      </c>
    </row>
    <row r="22" spans="5:8" x14ac:dyDescent="0.3">
      <c r="E22" s="2">
        <v>29</v>
      </c>
      <c r="F22" s="21">
        <f t="shared" ca="1" si="0"/>
        <v>0.40147339913204477</v>
      </c>
      <c r="G22" s="22">
        <f t="shared" ca="1" si="0"/>
        <v>0.4216924186107241</v>
      </c>
      <c r="H22" s="23">
        <f t="shared" ca="1" si="0"/>
        <v>0.6268133956802272</v>
      </c>
    </row>
    <row r="23" spans="5:8" x14ac:dyDescent="0.3">
      <c r="E23" s="2">
        <v>30</v>
      </c>
      <c r="F23" s="21">
        <f t="shared" ref="F23:H42" ca="1" si="1">1/(1+EXP(-1*(VLOOKUP("Intercept",INDIRECT($B$1&amp;"Coef"),1+MATCH($B$2,ModelTypes,0),FALSE) + VLOOKUP("LDVMPH",INDIRECT($B$1&amp;"Coef"),1+MATCH($B$2,ModelTypes,0),FALSE)*LN($E23) + VLOOKUP(F$2,INDIRECT($B$1&amp;"Coef"),1+MATCH($B$2,ModelTypes,0),FALSE) + VLOOKUP("Height",INDIRECT($B$1&amp;"Coef"),1+MATCH($B$2,ModelTypes,0),FALSE)*$B$5 + VLOOKUP("BMI",INDIRECT($B$1&amp;"Coef"),1+MATCH($B$2,ModelTypes,0),FALSE)*$B$6 + VLOOKUP("Sex "&amp;$B$7,INDIRECT($B$1&amp;"Coef"),1+MATCH($B$2,ModelTypes,0),FALSE))))</f>
        <v>0.42793317980876244</v>
      </c>
      <c r="G23" s="22">
        <f t="shared" ca="1" si="1"/>
        <v>0.44848625135637327</v>
      </c>
      <c r="H23" s="23">
        <f t="shared" ca="1" si="1"/>
        <v>0.6519476251716203</v>
      </c>
    </row>
    <row r="24" spans="5:8" x14ac:dyDescent="0.3">
      <c r="E24" s="2">
        <v>31</v>
      </c>
      <c r="F24" s="21">
        <f t="shared" ca="1" si="1"/>
        <v>0.45392519515319213</v>
      </c>
      <c r="G24" s="22">
        <f t="shared" ca="1" si="1"/>
        <v>0.47469076045314301</v>
      </c>
      <c r="H24" s="23">
        <f t="shared" ca="1" si="1"/>
        <v>0.67548001375937949</v>
      </c>
    </row>
    <row r="25" spans="5:8" x14ac:dyDescent="0.3">
      <c r="E25" s="2">
        <v>32</v>
      </c>
      <c r="F25" s="21">
        <f t="shared" ca="1" si="1"/>
        <v>0.47933501792153826</v>
      </c>
      <c r="G25" s="22">
        <f t="shared" ca="1" si="1"/>
        <v>0.50019823943087294</v>
      </c>
      <c r="H25" s="23">
        <f t="shared" ca="1" si="1"/>
        <v>0.69745183250034615</v>
      </c>
    </row>
    <row r="26" spans="5:8" x14ac:dyDescent="0.3">
      <c r="E26" s="2">
        <v>33</v>
      </c>
      <c r="F26" s="21">
        <f t="shared" ca="1" si="1"/>
        <v>0.50406664050186245</v>
      </c>
      <c r="G26" s="22">
        <f t="shared" ca="1" si="1"/>
        <v>0.52492106274810479</v>
      </c>
      <c r="H26" s="23">
        <f t="shared" ca="1" si="1"/>
        <v>0.7179198981618623</v>
      </c>
    </row>
    <row r="27" spans="5:8" x14ac:dyDescent="0.3">
      <c r="E27" s="2">
        <v>34</v>
      </c>
      <c r="F27" s="21">
        <f t="shared" ca="1" si="1"/>
        <v>0.5280420408594918</v>
      </c>
      <c r="G27" s="22">
        <f t="shared" ca="1" si="1"/>
        <v>0.54879074279979467</v>
      </c>
      <c r="H27" s="23">
        <f t="shared" ca="1" si="1"/>
        <v>0.73695195255209189</v>
      </c>
    </row>
    <row r="28" spans="5:8" x14ac:dyDescent="0.3">
      <c r="E28" s="2">
        <v>35</v>
      </c>
      <c r="F28" s="21">
        <f t="shared" ca="1" si="1"/>
        <v>0.551200281883793</v>
      </c>
      <c r="G28" s="22">
        <f t="shared" ca="1" si="1"/>
        <v>0.57175656429051747</v>
      </c>
      <c r="H28" s="23">
        <f t="shared" ca="1" si="1"/>
        <v>0.75462281882086346</v>
      </c>
    </row>
    <row r="29" spans="5:8" x14ac:dyDescent="0.3">
      <c r="E29" s="2">
        <v>36</v>
      </c>
      <c r="F29" s="21">
        <f t="shared" ca="1" si="1"/>
        <v>0.57349626841560963</v>
      </c>
      <c r="G29" s="22">
        <f t="shared" ca="1" si="1"/>
        <v>0.59378393598836454</v>
      </c>
      <c r="H29" s="23">
        <f t="shared" ca="1" si="1"/>
        <v>0.77101128962969789</v>
      </c>
    </row>
    <row r="30" spans="5:8" x14ac:dyDescent="0.3">
      <c r="E30" s="2">
        <v>37</v>
      </c>
      <c r="F30" s="21">
        <f t="shared" ca="1" si="1"/>
        <v>0.59489927707654711</v>
      </c>
      <c r="G30" s="22">
        <f t="shared" ca="1" si="1"/>
        <v>0.61485258297468581</v>
      </c>
      <c r="H30" s="23">
        <f t="shared" ca="1" si="1"/>
        <v>0.78619767360304726</v>
      </c>
    </row>
    <row r="31" spans="5:8" x14ac:dyDescent="0.3">
      <c r="E31" s="2">
        <v>38</v>
      </c>
      <c r="F31" s="21">
        <f t="shared" ca="1" si="1"/>
        <v>0.61539135971704684</v>
      </c>
      <c r="G31" s="22">
        <f t="shared" ca="1" si="1"/>
        <v>0.63495468188564841</v>
      </c>
      <c r="H31" s="23">
        <f t="shared" ca="1" si="1"/>
        <v>0.80026191333971064</v>
      </c>
    </row>
    <row r="32" spans="5:8" x14ac:dyDescent="0.3">
      <c r="E32" s="2">
        <v>39</v>
      </c>
      <c r="F32" s="21">
        <f t="shared" ca="1" si="1"/>
        <v>0.63496570433337385</v>
      </c>
      <c r="G32" s="22">
        <f t="shared" ca="1" si="1"/>
        <v>0.65409301996254243</v>
      </c>
      <c r="H32" s="23">
        <f t="shared" ca="1" si="1"/>
        <v>0.81328218571688793</v>
      </c>
    </row>
    <row r="33" spans="5:8" x14ac:dyDescent="0.3">
      <c r="E33" s="2">
        <v>40</v>
      </c>
      <c r="F33" s="21">
        <f t="shared" ca="1" si="1"/>
        <v>0.65362501967114139</v>
      </c>
      <c r="G33" s="22">
        <f t="shared" ca="1" si="1"/>
        <v>0.67227923793107791</v>
      </c>
      <c r="H33" s="23">
        <f t="shared" ca="1" si="1"/>
        <v>0.82533389940282742</v>
      </c>
    </row>
    <row r="34" spans="5:8" x14ac:dyDescent="0.3">
      <c r="E34" s="2">
        <v>41</v>
      </c>
      <c r="F34" s="21">
        <f t="shared" ca="1" si="1"/>
        <v>0.67137999288930983</v>
      </c>
      <c r="G34" s="22">
        <f t="shared" ca="1" si="1"/>
        <v>0.68953219807103927</v>
      </c>
      <c r="H34" s="23">
        <f t="shared" ca="1" si="1"/>
        <v>0.83648901250109742</v>
      </c>
    </row>
    <row r="35" spans="5:8" x14ac:dyDescent="0.3">
      <c r="E35" s="2">
        <v>42</v>
      </c>
      <c r="F35" s="21">
        <f t="shared" ca="1" si="1"/>
        <v>0.6882478545448153</v>
      </c>
      <c r="G35" s="22">
        <f t="shared" ca="1" si="1"/>
        <v>0.70587650298877547</v>
      </c>
      <c r="H35" s="23">
        <f t="shared" ca="1" si="1"/>
        <v>0.84681560302314718</v>
      </c>
    </row>
    <row r="36" spans="5:8" x14ac:dyDescent="0.3">
      <c r="E36" s="2">
        <v>43</v>
      </c>
      <c r="F36" s="21">
        <f t="shared" ca="1" si="1"/>
        <v>0.70425107227985662</v>
      </c>
      <c r="G36" s="22">
        <f t="shared" ca="1" si="1"/>
        <v>0.72134117778878959</v>
      </c>
      <c r="H36" s="23">
        <f t="shared" ca="1" si="1"/>
        <v>0.85637763506000042</v>
      </c>
    </row>
    <row r="37" spans="5:8" x14ac:dyDescent="0.3">
      <c r="E37" s="2">
        <v>44</v>
      </c>
      <c r="F37" s="21">
        <f t="shared" ca="1" si="1"/>
        <v>0.71941618412084118</v>
      </c>
      <c r="G37" s="22">
        <f t="shared" ca="1" si="1"/>
        <v>0.73595851846598559</v>
      </c>
      <c r="H37" s="23">
        <f t="shared" ca="1" si="1"/>
        <v>0.86523487325760273</v>
      </c>
    </row>
    <row r="38" spans="5:8" x14ac:dyDescent="0.3">
      <c r="E38" s="2">
        <v>45</v>
      </c>
      <c r="F38" s="21">
        <f t="shared" ca="1" si="1"/>
        <v>0.73377277416256437</v>
      </c>
      <c r="G38" s="22">
        <f t="shared" ca="1" si="1"/>
        <v>0.74976310212060315</v>
      </c>
      <c r="H38" s="23">
        <f t="shared" ca="1" si="1"/>
        <v>0.87344290702905369</v>
      </c>
    </row>
    <row r="39" spans="5:8" x14ac:dyDescent="0.3">
      <c r="E39" s="2">
        <v>46</v>
      </c>
      <c r="F39" s="21">
        <f t="shared" ca="1" si="1"/>
        <v>0.74735258739675847</v>
      </c>
      <c r="G39" s="22">
        <f t="shared" ca="1" si="1"/>
        <v>0.7627909496469788</v>
      </c>
      <c r="H39" s="23">
        <f t="shared" ca="1" si="1"/>
        <v>0.88105325365227605</v>
      </c>
    </row>
    <row r="40" spans="5:8" x14ac:dyDescent="0.3">
      <c r="E40" s="2">
        <v>47</v>
      </c>
      <c r="F40" s="21">
        <f t="shared" ca="1" si="1"/>
        <v>0.76018877625507386</v>
      </c>
      <c r="G40" s="22">
        <f t="shared" ca="1" si="1"/>
        <v>0.77507882844681075</v>
      </c>
      <c r="H40" s="23">
        <f t="shared" ca="1" si="1"/>
        <v>0.88811351595934696</v>
      </c>
    </row>
    <row r="41" spans="5:8" x14ac:dyDescent="0.3">
      <c r="E41" s="2">
        <v>48</v>
      </c>
      <c r="F41" s="21">
        <f t="shared" ca="1" si="1"/>
        <v>0.77231526875017975</v>
      </c>
      <c r="G41" s="22">
        <f t="shared" ca="1" si="1"/>
        <v>0.78666368106359785</v>
      </c>
      <c r="H41" s="23">
        <f t="shared" ca="1" si="1"/>
        <v>0.89466757577740164</v>
      </c>
    </row>
    <row r="42" spans="5:8" x14ac:dyDescent="0.3">
      <c r="E42" s="2">
        <v>49</v>
      </c>
      <c r="F42" s="21">
        <f t="shared" ca="1" si="1"/>
        <v>0.78376624660001648</v>
      </c>
      <c r="G42" s="22">
        <f t="shared" ca="1" si="1"/>
        <v>0.79758216506425694</v>
      </c>
      <c r="H42" s="23">
        <f t="shared" ca="1" si="1"/>
        <v>0.90075580873651351</v>
      </c>
    </row>
    <row r="43" spans="5:8" x14ac:dyDescent="0.3">
      <c r="E43" s="2">
        <v>50</v>
      </c>
      <c r="F43" s="21">
        <f t="shared" ref="F43:H63" ca="1" si="2">1/(1+EXP(-1*(VLOOKUP("Intercept",INDIRECT($B$1&amp;"Coef"),1+MATCH($B$2,ModelTypes,0),FALSE) + VLOOKUP("LDVMPH",INDIRECT($B$1&amp;"Coef"),1+MATCH($B$2,ModelTypes,0),FALSE)*LN($E43) + VLOOKUP(F$2,INDIRECT($B$1&amp;"Coef"),1+MATCH($B$2,ModelTypes,0),FALSE) + VLOOKUP("Height",INDIRECT($B$1&amp;"Coef"),1+MATCH($B$2,ModelTypes,0),FALSE)*$B$5 + VLOOKUP("BMI",INDIRECT($B$1&amp;"Coef"),1+MATCH($B$2,ModelTypes,0),FALSE)*$B$6 + VLOOKUP("Sex "&amp;$B$7,INDIRECT($B$1&amp;"Coef"),1+MATCH($B$2,ModelTypes,0),FALSE))))</f>
        <v>0.79457572112339137</v>
      </c>
      <c r="G43" s="22">
        <f t="shared" ca="1" si="2"/>
        <v>0.80787028969743324</v>
      </c>
      <c r="H43" s="23">
        <f t="shared" ca="1" si="2"/>
        <v>0.90641530964536576</v>
      </c>
    </row>
    <row r="44" spans="5:8" x14ac:dyDescent="0.3">
      <c r="E44" s="2">
        <v>51</v>
      </c>
      <c r="F44" s="21">
        <f t="shared" ca="1" si="2"/>
        <v>0.80477719475358767</v>
      </c>
      <c r="G44" s="22">
        <f t="shared" ca="1" si="2"/>
        <v>0.81756313558342486</v>
      </c>
      <c r="H44" s="23">
        <f t="shared" ca="1" si="2"/>
        <v>0.91168012048247804</v>
      </c>
    </row>
    <row r="45" spans="5:8" x14ac:dyDescent="0.3">
      <c r="E45" s="2">
        <v>52</v>
      </c>
      <c r="F45" s="21">
        <f t="shared" ca="1" si="2"/>
        <v>0.81440339652715055</v>
      </c>
      <c r="G45" s="22">
        <f t="shared" ca="1" si="2"/>
        <v>0.82669464474015208</v>
      </c>
      <c r="H45" s="23">
        <f t="shared" ca="1" si="2"/>
        <v>0.91658145528379764</v>
      </c>
    </row>
    <row r="46" spans="5:8" x14ac:dyDescent="0.3">
      <c r="E46" s="2">
        <v>53</v>
      </c>
      <c r="F46" s="21">
        <f t="shared" ca="1" si="2"/>
        <v>0.8234860807055765</v>
      </c>
      <c r="G46" s="22">
        <f t="shared" ca="1" si="2"/>
        <v>0.83529746947338745</v>
      </c>
      <c r="H46" s="23">
        <f t="shared" ca="1" si="2"/>
        <v>0.92114791793843287</v>
      </c>
    </row>
    <row r="47" spans="5:8" x14ac:dyDescent="0.3">
      <c r="E47" s="2">
        <v>54</v>
      </c>
      <c r="F47" s="21">
        <f t="shared" ca="1" si="2"/>
        <v>0.83205587865397979</v>
      </c>
      <c r="G47" s="22">
        <f t="shared" ca="1" si="2"/>
        <v>0.84340286994858815</v>
      </c>
      <c r="H47" s="23">
        <f t="shared" ca="1" si="2"/>
        <v>0.92540571023028673</v>
      </c>
    </row>
    <row r="48" spans="5:8" x14ac:dyDescent="0.3">
      <c r="E48" s="2">
        <v>55</v>
      </c>
      <c r="F48" s="21">
        <f t="shared" ca="1" si="2"/>
        <v>0.84014219514072919</v>
      </c>
      <c r="G48" s="22">
        <f t="shared" ca="1" si="2"/>
        <v>0.8510406515400476</v>
      </c>
      <c r="H48" s="23">
        <f t="shared" ca="1" si="2"/>
        <v>0.92937882846642017</v>
      </c>
    </row>
    <row r="49" spans="5:8" x14ac:dyDescent="0.3">
      <c r="E49" s="2">
        <v>56</v>
      </c>
      <c r="F49" s="21">
        <f t="shared" ca="1" si="2"/>
        <v>0.84777314126982251</v>
      </c>
      <c r="G49" s="22">
        <f t="shared" ca="1" si="2"/>
        <v>0.85823913427059884</v>
      </c>
      <c r="H49" s="23">
        <f t="shared" ca="1" si="2"/>
        <v>0.93308924778129276</v>
      </c>
    </row>
    <row r="50" spans="5:8" x14ac:dyDescent="0.3">
      <c r="E50" s="2">
        <v>57</v>
      </c>
      <c r="F50" s="21">
        <f t="shared" ca="1" si="2"/>
        <v>0.85497549726874023</v>
      </c>
      <c r="G50" s="22">
        <f t="shared" ca="1" si="2"/>
        <v>0.86502514778117512</v>
      </c>
      <c r="H50" s="23">
        <f t="shared" ca="1" si="2"/>
        <v>0.93655709375520824</v>
      </c>
    </row>
    <row r="51" spans="5:8" x14ac:dyDescent="0.3">
      <c r="E51" s="2">
        <v>58</v>
      </c>
      <c r="F51" s="21">
        <f t="shared" ca="1" si="2"/>
        <v>0.8617746993003137</v>
      </c>
      <c r="G51" s="22">
        <f t="shared" ca="1" si="2"/>
        <v>0.87142404628806569</v>
      </c>
      <c r="H51" s="23">
        <f t="shared" ca="1" si="2"/>
        <v>0.93980080138033062</v>
      </c>
    </row>
    <row r="52" spans="5:8" x14ac:dyDescent="0.3">
      <c r="E52" s="2">
        <v>59</v>
      </c>
      <c r="F52" s="21">
        <f t="shared" ca="1" si="2"/>
        <v>0.86819484533155367</v>
      </c>
      <c r="G52" s="22">
        <f t="shared" ca="1" si="2"/>
        <v>0.87745973889079931</v>
      </c>
      <c r="H52" s="23">
        <f t="shared" ca="1" si="2"/>
        <v>0.94283726168435322</v>
      </c>
    </row>
    <row r="53" spans="5:8" x14ac:dyDescent="0.3">
      <c r="E53" s="2">
        <v>60</v>
      </c>
      <c r="F53" s="21">
        <f t="shared" ca="1" si="2"/>
        <v>0.87425871586802717</v>
      </c>
      <c r="G53" s="22">
        <f t="shared" ca="1" si="2"/>
        <v>0.88315473138630285</v>
      </c>
      <c r="H53" s="23">
        <f t="shared" ca="1" si="2"/>
        <v>0.9456819565087361</v>
      </c>
    </row>
    <row r="54" spans="5:8" x14ac:dyDescent="0.3">
      <c r="E54" s="2">
        <v>61</v>
      </c>
      <c r="F54" s="21">
        <f t="shared" ca="1" si="2"/>
        <v>0.87998780604805926</v>
      </c>
      <c r="G54" s="22">
        <f t="shared" ca="1" si="2"/>
        <v>0.8885301764308865</v>
      </c>
      <c r="H54" s="23">
        <f t="shared" ca="1" si="2"/>
        <v>0.94834908205766499</v>
      </c>
    </row>
    <row r="55" spans="5:8" x14ac:dyDescent="0.3">
      <c r="E55" s="2">
        <v>62</v>
      </c>
      <c r="F55" s="21">
        <f t="shared" ca="1" si="2"/>
        <v>0.88540236618966683</v>
      </c>
      <c r="G55" s="22">
        <f t="shared" ca="1" si="2"/>
        <v>0.89360592947889472</v>
      </c>
      <c r="H55" s="23">
        <f t="shared" ca="1" si="2"/>
        <v>0.95085166190286408</v>
      </c>
    </row>
    <row r="56" spans="5:8" x14ac:dyDescent="0.3">
      <c r="E56" s="2">
        <v>63</v>
      </c>
      <c r="F56" s="21">
        <f t="shared" ca="1" si="2"/>
        <v>0.89052144840027969</v>
      </c>
      <c r="G56" s="22">
        <f t="shared" ca="1" si="2"/>
        <v>0.89840060842512681</v>
      </c>
      <c r="H56" s="23">
        <f t="shared" ca="1" si="2"/>
        <v>0.95320165016162151</v>
      </c>
    </row>
    <row r="57" spans="5:8" x14ac:dyDescent="0.3">
      <c r="E57" s="2">
        <v>64</v>
      </c>
      <c r="F57" s="21">
        <f t="shared" ca="1" si="2"/>
        <v>0.89536295730184379</v>
      </c>
      <c r="G57" s="22">
        <f t="shared" ca="1" si="2"/>
        <v>0.90293165529734631</v>
      </c>
      <c r="H57" s="23">
        <f t="shared" ca="1" si="2"/>
        <v>0.95541002557109334</v>
      </c>
    </row>
    <row r="58" spans="5:8" x14ac:dyDescent="0.3">
      <c r="E58" s="2">
        <v>65</v>
      </c>
      <c r="F58" s="21">
        <f t="shared" ca="1" si="2"/>
        <v>0.89994370329954765</v>
      </c>
      <c r="G58" s="22">
        <f t="shared" ca="1" si="2"/>
        <v>0.90721539869524692</v>
      </c>
      <c r="H58" s="23">
        <f t="shared" ca="1" si="2"/>
        <v>0.95748687716908332</v>
      </c>
    </row>
    <row r="59" spans="5:8" x14ac:dyDescent="0.3">
      <c r="E59" s="2">
        <v>66</v>
      </c>
      <c r="F59" s="21">
        <f t="shared" ca="1" si="2"/>
        <v>0.90427945713882374</v>
      </c>
      <c r="G59" s="22">
        <f t="shared" ca="1" si="2"/>
        <v>0.9112671159624206</v>
      </c>
      <c r="H59" s="23">
        <f t="shared" ca="1" si="2"/>
        <v>0.9594414822659475</v>
      </c>
    </row>
    <row r="60" spans="5:8" x14ac:dyDescent="0.3">
      <c r="E60" s="2">
        <v>67</v>
      </c>
      <c r="F60" s="21">
        <f t="shared" ca="1" si="2"/>
        <v>0.90838500475992368</v>
      </c>
      <c r="G60" s="22">
        <f t="shared" ca="1" si="2"/>
        <v>0.9151010943167518</v>
      </c>
      <c r="H60" s="23">
        <f t="shared" ca="1" si="2"/>
        <v>0.96128237735852573</v>
      </c>
    </row>
    <row r="61" spans="5:8" x14ac:dyDescent="0.3">
      <c r="E61" s="2">
        <v>68</v>
      </c>
      <c r="F61" s="21">
        <f t="shared" ca="1" si="2"/>
        <v>0.91227420167925521</v>
      </c>
      <c r="G61" s="22">
        <f t="shared" ca="1" si="2"/>
        <v>0.91873069035992927</v>
      </c>
      <c r="H61" s="23">
        <f t="shared" ca="1" si="2"/>
        <v>0.96301742259834899</v>
      </c>
    </row>
    <row r="62" spans="5:8" x14ac:dyDescent="0.3">
      <c r="E62" s="2">
        <v>69</v>
      </c>
      <c r="F62" s="21">
        <f t="shared" ca="1" si="2"/>
        <v>0.91596002630813944</v>
      </c>
      <c r="G62" s="22">
        <f t="shared" ca="1" si="2"/>
        <v>0.92216838754527253</v>
      </c>
      <c r="H62" s="23">
        <f t="shared" ca="1" si="2"/>
        <v>0.96465386038523693</v>
      </c>
    </row>
    <row r="63" spans="5:8" x14ac:dyDescent="0.3">
      <c r="E63" s="3">
        <v>70</v>
      </c>
      <c r="F63" s="24">
        <f t="shared" ca="1" si="2"/>
        <v>0.91945463176842779</v>
      </c>
      <c r="G63" s="25">
        <f t="shared" ca="1" si="2"/>
        <v>0.92542585131073807</v>
      </c>
      <c r="H63" s="26">
        <f t="shared" ca="1" si="2"/>
        <v>0.96619836861552477</v>
      </c>
    </row>
    <row r="64" spans="5:8" x14ac:dyDescent="0.3">
      <c r="F64" s="17"/>
      <c r="G64" s="17"/>
      <c r="H64" s="17"/>
    </row>
    <row r="65" spans="6:8" x14ac:dyDescent="0.3">
      <c r="F65" s="17"/>
      <c r="G65" s="17"/>
      <c r="H65" s="17"/>
    </row>
    <row r="66" spans="6:8" x14ac:dyDescent="0.3">
      <c r="F66" s="17"/>
      <c r="G66" s="17"/>
      <c r="H66" s="17"/>
    </row>
    <row r="67" spans="6:8" x14ac:dyDescent="0.3">
      <c r="F67" s="17"/>
      <c r="G67" s="17"/>
      <c r="H67" s="17"/>
    </row>
    <row r="68" spans="6:8" x14ac:dyDescent="0.3">
      <c r="F68" s="17"/>
      <c r="G68" s="17"/>
      <c r="H68" s="17"/>
    </row>
    <row r="69" spans="6:8" x14ac:dyDescent="0.3">
      <c r="F69" s="17"/>
      <c r="G69" s="17"/>
      <c r="H69" s="17"/>
    </row>
    <row r="70" spans="6:8" x14ac:dyDescent="0.3">
      <c r="F70" s="17"/>
      <c r="G70" s="17"/>
      <c r="H70" s="17"/>
    </row>
    <row r="71" spans="6:8" x14ac:dyDescent="0.3">
      <c r="F71" s="17"/>
      <c r="G71" s="17"/>
      <c r="H71" s="17"/>
    </row>
    <row r="72" spans="6:8" x14ac:dyDescent="0.3">
      <c r="F72" s="17"/>
      <c r="G72" s="17"/>
      <c r="H72" s="17"/>
    </row>
    <row r="73" spans="6:8" x14ac:dyDescent="0.3">
      <c r="F73" s="17"/>
      <c r="G73" s="17"/>
      <c r="H73" s="17"/>
    </row>
    <row r="74" spans="6:8" x14ac:dyDescent="0.3">
      <c r="F74" s="17"/>
      <c r="G74" s="17"/>
      <c r="H74" s="17"/>
    </row>
    <row r="75" spans="6:8" x14ac:dyDescent="0.3">
      <c r="F75" s="17"/>
      <c r="G75" s="17"/>
      <c r="H75" s="17"/>
    </row>
    <row r="76" spans="6:8" x14ac:dyDescent="0.3">
      <c r="F76" s="17"/>
      <c r="G76" s="17"/>
      <c r="H76" s="17"/>
    </row>
    <row r="77" spans="6:8" x14ac:dyDescent="0.3">
      <c r="F77" s="17"/>
      <c r="G77" s="17"/>
      <c r="H77" s="17"/>
    </row>
    <row r="78" spans="6:8" x14ac:dyDescent="0.3">
      <c r="F78" s="17"/>
      <c r="G78" s="17"/>
      <c r="H78" s="17"/>
    </row>
    <row r="79" spans="6:8" x14ac:dyDescent="0.3">
      <c r="F79" s="17"/>
      <c r="G79" s="17"/>
      <c r="H79" s="17"/>
    </row>
    <row r="80" spans="6:8" x14ac:dyDescent="0.3">
      <c r="F80" s="17"/>
      <c r="G80" s="17"/>
      <c r="H80" s="17"/>
    </row>
    <row r="81" spans="6:8" x14ac:dyDescent="0.3">
      <c r="F81" s="17"/>
      <c r="G81" s="17"/>
      <c r="H81" s="17"/>
    </row>
    <row r="82" spans="6:8" x14ac:dyDescent="0.3">
      <c r="F82" s="17"/>
      <c r="G82" s="17"/>
      <c r="H82" s="17"/>
    </row>
    <row r="83" spans="6:8" x14ac:dyDescent="0.3">
      <c r="F83" s="17"/>
      <c r="G83" s="17"/>
      <c r="H83" s="17"/>
    </row>
  </sheetData>
  <mergeCells count="2">
    <mergeCell ref="F1:H1"/>
    <mergeCell ref="A4:B4"/>
  </mergeCells>
  <dataValidations count="3">
    <dataValidation type="list" allowBlank="1" showInputMessage="1" showErrorMessage="1" sqref="B1" xr:uid="{E134AAF5-9CA5-48A8-8359-DC645C9A2D25}">
      <formula1>"Head,Chest,LowerExtremity"</formula1>
    </dataValidation>
    <dataValidation type="list" allowBlank="1" showInputMessage="1" showErrorMessage="1" sqref="B2" xr:uid="{FC146F6C-A937-4D98-8BA4-4D24E3D0DF60}">
      <formula1>ModelTypes</formula1>
    </dataValidation>
    <dataValidation type="list" allowBlank="1" showInputMessage="1" showErrorMessage="1" sqref="B7" xr:uid="{F59CFFE5-0B8F-46D0-BE03-B781473BA9B5}">
      <formula1>"M,F"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C9AB-EB99-49AD-A365-D6315CC22890}">
  <sheetPr>
    <tabColor theme="7"/>
  </sheetPr>
  <dimension ref="A1:Q20"/>
  <sheetViews>
    <sheetView workbookViewId="0">
      <selection activeCell="M1" sqref="M1:Q13"/>
    </sheetView>
  </sheetViews>
  <sheetFormatPr defaultRowHeight="14.4" x14ac:dyDescent="0.3"/>
  <cols>
    <col min="1" max="1" width="9.5546875" bestFit="1" customWidth="1"/>
    <col min="2" max="2" width="8.6640625" bestFit="1" customWidth="1"/>
    <col min="3" max="3" width="16" bestFit="1" customWidth="1"/>
    <col min="4" max="4" width="10.88671875" bestFit="1" customWidth="1"/>
    <col min="5" max="5" width="11.77734375" bestFit="1" customWidth="1"/>
    <col min="7" max="7" width="9.5546875" bestFit="1" customWidth="1"/>
    <col min="8" max="8" width="8.6640625" bestFit="1" customWidth="1"/>
    <col min="9" max="9" width="16" bestFit="1" customWidth="1"/>
    <col min="10" max="10" width="10.88671875" bestFit="1" customWidth="1"/>
    <col min="11" max="11" width="11.77734375" bestFit="1" customWidth="1"/>
    <col min="13" max="13" width="9.5546875" bestFit="1" customWidth="1"/>
    <col min="14" max="14" width="8.6640625" bestFit="1" customWidth="1"/>
    <col min="15" max="15" width="16" bestFit="1" customWidth="1"/>
    <col min="16" max="16" width="10.88671875" bestFit="1" customWidth="1"/>
    <col min="17" max="17" width="11.77734375" bestFit="1" customWidth="1"/>
  </cols>
  <sheetData>
    <row r="1" spans="1:17" x14ac:dyDescent="0.3">
      <c r="A1" s="42" t="s">
        <v>11</v>
      </c>
      <c r="B1" s="43"/>
      <c r="C1" s="43"/>
      <c r="D1" s="43"/>
      <c r="E1" s="44"/>
      <c r="G1" s="42" t="s">
        <v>12</v>
      </c>
      <c r="H1" s="43"/>
      <c r="I1" s="43"/>
      <c r="J1" s="43"/>
      <c r="K1" s="44"/>
      <c r="M1" s="42" t="s">
        <v>13</v>
      </c>
      <c r="N1" s="43"/>
      <c r="O1" s="43"/>
      <c r="P1" s="43"/>
      <c r="Q1" s="44"/>
    </row>
    <row r="2" spans="1:17" x14ac:dyDescent="0.3">
      <c r="A2" s="13" t="s">
        <v>23</v>
      </c>
      <c r="B2" s="14" t="s">
        <v>3</v>
      </c>
      <c r="C2" s="15" t="s">
        <v>6</v>
      </c>
      <c r="D2" s="15" t="s">
        <v>29</v>
      </c>
      <c r="E2" s="16" t="s">
        <v>30</v>
      </c>
      <c r="G2" s="13" t="s">
        <v>23</v>
      </c>
      <c r="H2" s="14" t="s">
        <v>3</v>
      </c>
      <c r="I2" s="15" t="s">
        <v>6</v>
      </c>
      <c r="J2" s="15" t="s">
        <v>29</v>
      </c>
      <c r="K2" s="16" t="s">
        <v>30</v>
      </c>
      <c r="M2" s="13" t="s">
        <v>23</v>
      </c>
      <c r="N2" s="14" t="s">
        <v>3</v>
      </c>
      <c r="O2" s="15" t="s">
        <v>6</v>
      </c>
      <c r="P2" s="15" t="s">
        <v>29</v>
      </c>
      <c r="Q2" s="16" t="s">
        <v>30</v>
      </c>
    </row>
    <row r="3" spans="1:17" x14ac:dyDescent="0.3">
      <c r="A3" s="1" t="s">
        <v>24</v>
      </c>
      <c r="B3" s="4">
        <v>-17.366399999999999</v>
      </c>
      <c r="C3" s="5">
        <v>-15.0867</v>
      </c>
      <c r="D3" s="5">
        <v>-10.5901</v>
      </c>
      <c r="E3" s="6">
        <v>-24.597100000000001</v>
      </c>
      <c r="G3" s="1" t="s">
        <v>24</v>
      </c>
      <c r="H3" s="4">
        <v>-15.173</v>
      </c>
      <c r="I3" s="5">
        <v>-16.6204</v>
      </c>
      <c r="J3" s="5">
        <v>-13.6031</v>
      </c>
      <c r="K3" s="6">
        <v>-20.6174</v>
      </c>
      <c r="M3" s="1" t="s">
        <v>24</v>
      </c>
      <c r="N3" s="4">
        <v>-11.2859</v>
      </c>
      <c r="O3" s="5">
        <v>-9.6353000000000009</v>
      </c>
      <c r="P3" s="5">
        <v>-12.1951</v>
      </c>
      <c r="Q3" s="6">
        <v>-6.6737000000000002</v>
      </c>
    </row>
    <row r="4" spans="1:17" x14ac:dyDescent="0.3">
      <c r="A4" s="2" t="s">
        <v>1</v>
      </c>
      <c r="B4" s="7">
        <v>2.4087999999999998</v>
      </c>
      <c r="C4" s="8">
        <v>2.4348000000000001</v>
      </c>
      <c r="D4" s="8">
        <v>2.3986999999999998</v>
      </c>
      <c r="E4" s="9">
        <v>2.3988</v>
      </c>
      <c r="G4" s="2" t="s">
        <v>1</v>
      </c>
      <c r="H4" s="7">
        <v>2.2422</v>
      </c>
      <c r="I4" s="8">
        <v>2.8679000000000001</v>
      </c>
      <c r="J4" s="8">
        <v>2.4904999999999999</v>
      </c>
      <c r="K4" s="9">
        <v>3.5097999999999998</v>
      </c>
      <c r="M4" s="2" t="s">
        <v>1</v>
      </c>
      <c r="N4" s="7">
        <v>3.2164000000000001</v>
      </c>
      <c r="O4" s="8">
        <v>2.9251</v>
      </c>
      <c r="P4" s="8">
        <v>2.5444</v>
      </c>
      <c r="Q4" s="9">
        <v>3.4912999999999998</v>
      </c>
    </row>
    <row r="5" spans="1:17" x14ac:dyDescent="0.3">
      <c r="A5" s="2" t="s">
        <v>38</v>
      </c>
      <c r="B5" s="7">
        <v>0</v>
      </c>
      <c r="C5">
        <v>0</v>
      </c>
      <c r="D5" s="8">
        <v>0</v>
      </c>
      <c r="E5" s="9">
        <v>0</v>
      </c>
      <c r="G5" s="2" t="s">
        <v>38</v>
      </c>
      <c r="H5" s="7">
        <v>0</v>
      </c>
      <c r="I5">
        <v>0</v>
      </c>
      <c r="J5" s="8">
        <v>0</v>
      </c>
      <c r="K5" s="9">
        <v>0</v>
      </c>
      <c r="M5" s="2" t="s">
        <v>38</v>
      </c>
      <c r="N5" s="7">
        <v>0</v>
      </c>
      <c r="O5">
        <v>0</v>
      </c>
      <c r="P5" s="8">
        <v>0</v>
      </c>
      <c r="Q5" s="9">
        <v>0</v>
      </c>
    </row>
    <row r="6" spans="1:17" x14ac:dyDescent="0.3">
      <c r="A6" s="2" t="s">
        <v>39</v>
      </c>
      <c r="B6" s="7">
        <v>-5.7500000000000002E-2</v>
      </c>
      <c r="C6" s="8">
        <v>0.45469999999999999</v>
      </c>
      <c r="D6" s="8">
        <v>8.5699999999999998E-2</v>
      </c>
      <c r="E6" s="9">
        <v>1.2587999999999999</v>
      </c>
      <c r="G6" s="2" t="s">
        <v>39</v>
      </c>
      <c r="H6" s="7">
        <v>1.5944</v>
      </c>
      <c r="I6" s="8">
        <v>1.2745</v>
      </c>
      <c r="J6" s="8">
        <v>1.2589999999999999</v>
      </c>
      <c r="K6" s="9">
        <v>1.3997999999999999</v>
      </c>
      <c r="M6" s="2" t="s">
        <v>39</v>
      </c>
      <c r="N6" s="7">
        <v>8.3500000000000005E-2</v>
      </c>
      <c r="O6" s="8">
        <v>0.70930000000000004</v>
      </c>
      <c r="P6" s="8">
        <v>0.67200000000000004</v>
      </c>
      <c r="Q6" s="9">
        <v>0.75090000000000001</v>
      </c>
    </row>
    <row r="7" spans="1:17" x14ac:dyDescent="0.3">
      <c r="A7" s="2" t="s">
        <v>40</v>
      </c>
      <c r="B7" s="7">
        <v>0.3296</v>
      </c>
      <c r="C7" s="8">
        <v>-9.5000000000000001E-2</v>
      </c>
      <c r="D7" s="8">
        <v>-0.38919999999999999</v>
      </c>
      <c r="E7" s="9">
        <v>0.96460000000000001</v>
      </c>
      <c r="G7" s="2" t="s">
        <v>40</v>
      </c>
      <c r="H7" s="7">
        <v>3.3058000000000001</v>
      </c>
      <c r="I7" s="8">
        <v>1.8405</v>
      </c>
      <c r="J7" s="8">
        <v>0.40870000000000001</v>
      </c>
      <c r="K7" s="9">
        <v>2.8975</v>
      </c>
      <c r="M7" s="2" t="s">
        <v>40</v>
      </c>
      <c r="N7" s="7">
        <v>0.91790000000000005</v>
      </c>
      <c r="O7" s="8">
        <v>1.3412999999999999</v>
      </c>
      <c r="P7" s="8">
        <v>0.70250000000000001</v>
      </c>
      <c r="Q7" s="9">
        <v>1.9983</v>
      </c>
    </row>
    <row r="8" spans="1:17" x14ac:dyDescent="0.3">
      <c r="A8" s="2" t="s">
        <v>35</v>
      </c>
      <c r="B8" s="7">
        <v>3.0200000000000001E-2</v>
      </c>
      <c r="C8" s="8">
        <v>1.2E-2</v>
      </c>
      <c r="D8" s="8">
        <v>-1.3599999999999999E-2</v>
      </c>
      <c r="E8" s="9">
        <v>6.8099999999999994E-2</v>
      </c>
      <c r="G8" s="2" t="s">
        <v>35</v>
      </c>
      <c r="H8" s="7">
        <v>1.26E-2</v>
      </c>
      <c r="I8" s="8">
        <v>2.0199999999999999E-2</v>
      </c>
      <c r="J8" s="8">
        <v>1.2800000000000001E-2</v>
      </c>
      <c r="K8" s="9">
        <v>3.0200000000000001E-2</v>
      </c>
      <c r="M8" s="2" t="s">
        <v>35</v>
      </c>
      <c r="N8" s="7">
        <v>-1.7999999999999999E-2</v>
      </c>
      <c r="O8" s="8">
        <v>-2.0199999999999999E-2</v>
      </c>
      <c r="P8" s="8">
        <v>-1.3999999999999999E-4</v>
      </c>
      <c r="Q8" s="9">
        <v>-4.4699999999999997E-2</v>
      </c>
    </row>
    <row r="9" spans="1:17" x14ac:dyDescent="0.3">
      <c r="A9" s="2" t="s">
        <v>25</v>
      </c>
      <c r="B9" s="7">
        <v>1.7100000000000001E-2</v>
      </c>
      <c r="C9" s="8">
        <v>4.9099999999999998E-2</v>
      </c>
      <c r="D9" s="8">
        <v>5.91E-2</v>
      </c>
      <c r="E9" s="9">
        <v>1.07E-3</v>
      </c>
      <c r="G9" s="2" t="s">
        <v>25</v>
      </c>
      <c r="H9" s="7">
        <v>5.28E-2</v>
      </c>
      <c r="I9" s="8">
        <v>7.45E-4</v>
      </c>
      <c r="J9" s="8">
        <v>-9.2200000000000008E-3</v>
      </c>
      <c r="K9" s="9">
        <v>-4.6999999999999999E-4</v>
      </c>
      <c r="M9" s="2" t="s">
        <v>25</v>
      </c>
      <c r="N9" s="7">
        <v>6.8900000000000003E-2</v>
      </c>
      <c r="O9" s="8">
        <v>3.3099999999999997E-2</v>
      </c>
      <c r="P9" s="8">
        <v>4.2500000000000003E-2</v>
      </c>
      <c r="Q9" s="9">
        <v>1.77E-2</v>
      </c>
    </row>
    <row r="10" spans="1:17" x14ac:dyDescent="0.3">
      <c r="A10" s="2" t="s">
        <v>43</v>
      </c>
      <c r="B10" s="7">
        <v>-0.29899999999999999</v>
      </c>
      <c r="C10" s="8">
        <v>-0.9667</v>
      </c>
      <c r="D10" s="8">
        <v>-1.2475000000000001</v>
      </c>
      <c r="E10" s="9">
        <v>-0.25440000000000002</v>
      </c>
      <c r="G10" s="2" t="s">
        <v>43</v>
      </c>
      <c r="H10" s="7">
        <v>0.93569999999999998</v>
      </c>
      <c r="I10" s="8">
        <v>-7.4499999999999997E-2</v>
      </c>
      <c r="J10" s="8">
        <v>-0.30819999999999997</v>
      </c>
      <c r="K10" s="9">
        <v>0.38569999999999999</v>
      </c>
      <c r="M10" s="2" t="s">
        <v>43</v>
      </c>
      <c r="N10" s="7">
        <v>0.2422</v>
      </c>
      <c r="O10" s="8">
        <v>5.5199999999999999E-2</v>
      </c>
      <c r="P10" s="8">
        <v>0.33829999999999999</v>
      </c>
      <c r="Q10" s="9">
        <v>-0.1641</v>
      </c>
    </row>
    <row r="11" spans="1:17" x14ac:dyDescent="0.3">
      <c r="A11" s="2" t="s">
        <v>44</v>
      </c>
      <c r="B11" s="7">
        <v>0</v>
      </c>
      <c r="C11" s="8">
        <v>0</v>
      </c>
      <c r="D11" s="8">
        <v>0</v>
      </c>
      <c r="E11" s="9">
        <v>0</v>
      </c>
      <c r="G11" s="2" t="s">
        <v>44</v>
      </c>
      <c r="H11" s="7">
        <v>0</v>
      </c>
      <c r="I11" s="8">
        <v>0</v>
      </c>
      <c r="J11" s="8">
        <v>0</v>
      </c>
      <c r="K11" s="9">
        <v>0</v>
      </c>
      <c r="M11" s="2" t="s">
        <v>44</v>
      </c>
      <c r="N11" s="7">
        <v>0</v>
      </c>
      <c r="O11" s="8">
        <v>0</v>
      </c>
      <c r="P11" s="8">
        <v>0</v>
      </c>
      <c r="Q11" s="9">
        <v>0</v>
      </c>
    </row>
    <row r="12" spans="1:17" x14ac:dyDescent="0.3">
      <c r="A12" s="2" t="s">
        <v>27</v>
      </c>
      <c r="B12" s="7"/>
      <c r="C12" s="8">
        <v>-0.45750000000000002</v>
      </c>
      <c r="D12" s="8"/>
      <c r="E12" s="9"/>
      <c r="G12" s="2" t="s">
        <v>27</v>
      </c>
      <c r="H12" s="7"/>
      <c r="I12" s="8">
        <v>0.21940000000000001</v>
      </c>
      <c r="J12" s="8"/>
      <c r="K12" s="9"/>
      <c r="M12" s="2" t="s">
        <v>27</v>
      </c>
      <c r="N12" s="7"/>
      <c r="O12" s="8">
        <v>0.1731</v>
      </c>
      <c r="P12" s="8"/>
      <c r="Q12" s="9"/>
    </row>
    <row r="13" spans="1:17" x14ac:dyDescent="0.3">
      <c r="A13" s="3" t="s">
        <v>28</v>
      </c>
      <c r="B13" s="10"/>
      <c r="C13" s="11">
        <v>0</v>
      </c>
      <c r="D13" s="11"/>
      <c r="E13" s="12"/>
      <c r="G13" s="3" t="s">
        <v>28</v>
      </c>
      <c r="H13" s="10"/>
      <c r="I13" s="11">
        <v>0</v>
      </c>
      <c r="J13" s="11"/>
      <c r="K13" s="12"/>
      <c r="M13" s="3" t="s">
        <v>28</v>
      </c>
      <c r="N13" s="10"/>
      <c r="O13" s="11">
        <v>0</v>
      </c>
      <c r="P13" s="11"/>
      <c r="Q13" s="12"/>
    </row>
    <row r="15" spans="1:17" x14ac:dyDescent="0.3"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</row>
    <row r="16" spans="1:17" x14ac:dyDescent="0.3"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</row>
    <row r="17" spans="2:12" x14ac:dyDescent="0.3"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</row>
    <row r="18" spans="2:12" x14ac:dyDescent="0.3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</row>
    <row r="19" spans="2:12" x14ac:dyDescent="0.3"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2:12" x14ac:dyDescent="0.3"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</sheetData>
  <mergeCells count="3">
    <mergeCell ref="A1:E1"/>
    <mergeCell ref="G1:K1"/>
    <mergeCell ref="M1:Q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Odds Ratios</vt:lpstr>
      <vt:lpstr>Odds Ratio Comparisons</vt:lpstr>
      <vt:lpstr>BMI Table</vt:lpstr>
      <vt:lpstr>Height Table</vt:lpstr>
      <vt:lpstr>DeltaV Table</vt:lpstr>
      <vt:lpstr>Model Coefficients</vt:lpstr>
      <vt:lpstr>ChestCoef</vt:lpstr>
      <vt:lpstr>'Odds Ratios'!ExternalData_1</vt:lpstr>
      <vt:lpstr>'Odds Ratios'!ExternalData_2</vt:lpstr>
      <vt:lpstr>'Odds Ratios'!ExternalData_3</vt:lpstr>
      <vt:lpstr>HeadCoef</vt:lpstr>
      <vt:lpstr>LowerExtremityCoef</vt:lpstr>
      <vt:lpstr>ModelTypes</vt:lpstr>
    </vt:vector>
  </TitlesOfParts>
  <Company>University of Michigan ITS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Leslie, Andrew</dc:creator>
  <cp:lastModifiedBy>Hu, Jingwen</cp:lastModifiedBy>
  <dcterms:created xsi:type="dcterms:W3CDTF">2024-04-08T17:01:50Z</dcterms:created>
  <dcterms:modified xsi:type="dcterms:W3CDTF">2024-04-17T03:46:24Z</dcterms:modified>
</cp:coreProperties>
</file>